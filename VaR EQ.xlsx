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cuments\FRM Part 2\Market Risk\"/>
    </mc:Choice>
  </mc:AlternateContent>
  <xr:revisionPtr revIDLastSave="0" documentId="13_ncr:1_{75341353-374C-40A4-B72C-1AAF51AED183}" xr6:coauthVersionLast="47" xr6:coauthVersionMax="47" xr10:uidLastSave="{00000000-0000-0000-0000-000000000000}"/>
  <bookViews>
    <workbookView xWindow="-120" yWindow="-120" windowWidth="20730" windowHeight="11040" xr2:uid="{0F7F88D5-A6B1-C741-AC86-9B790C5BD6FE}"/>
  </bookViews>
  <sheets>
    <sheet name="Value at Risk" sheetId="1" r:id="rId1"/>
    <sheet name="Market Data - E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1" l="1"/>
  <c r="G15" i="1"/>
  <c r="F15" i="1"/>
  <c r="E15" i="1"/>
  <c r="D15" i="1"/>
  <c r="I13" i="1"/>
  <c r="I9" i="1"/>
  <c r="H13" i="1"/>
  <c r="G13" i="1"/>
  <c r="F13" i="1"/>
  <c r="E13" i="1"/>
  <c r="D13" i="1"/>
  <c r="H9" i="1"/>
  <c r="G9" i="1"/>
  <c r="F9" i="1"/>
  <c r="E9" i="1"/>
  <c r="D9" i="1"/>
  <c r="K738" i="2"/>
  <c r="J738" i="2"/>
  <c r="I738" i="2"/>
  <c r="L738" i="2" s="1"/>
  <c r="H738" i="2"/>
  <c r="G738" i="2"/>
  <c r="K737" i="2"/>
  <c r="J737" i="2"/>
  <c r="I737" i="2"/>
  <c r="H737" i="2"/>
  <c r="G737" i="2"/>
  <c r="K736" i="2"/>
  <c r="L736" i="2" s="1"/>
  <c r="J736" i="2"/>
  <c r="I736" i="2"/>
  <c r="H736" i="2"/>
  <c r="G736" i="2"/>
  <c r="K735" i="2"/>
  <c r="J735" i="2"/>
  <c r="I735" i="2"/>
  <c r="H735" i="2"/>
  <c r="G735" i="2"/>
  <c r="K734" i="2"/>
  <c r="J734" i="2"/>
  <c r="I734" i="2"/>
  <c r="H734" i="2"/>
  <c r="G734" i="2"/>
  <c r="K733" i="2"/>
  <c r="J733" i="2"/>
  <c r="I733" i="2"/>
  <c r="H733" i="2"/>
  <c r="G733" i="2"/>
  <c r="K732" i="2"/>
  <c r="J732" i="2"/>
  <c r="I732" i="2"/>
  <c r="H732" i="2"/>
  <c r="G732" i="2"/>
  <c r="K731" i="2"/>
  <c r="J731" i="2"/>
  <c r="I731" i="2"/>
  <c r="H731" i="2"/>
  <c r="G731" i="2"/>
  <c r="K730" i="2"/>
  <c r="J730" i="2"/>
  <c r="I730" i="2"/>
  <c r="H730" i="2"/>
  <c r="G730" i="2"/>
  <c r="K729" i="2"/>
  <c r="J729" i="2"/>
  <c r="I729" i="2"/>
  <c r="H729" i="2"/>
  <c r="G729" i="2"/>
  <c r="K728" i="2"/>
  <c r="J728" i="2"/>
  <c r="I728" i="2"/>
  <c r="H728" i="2"/>
  <c r="G728" i="2"/>
  <c r="K727" i="2"/>
  <c r="J727" i="2"/>
  <c r="I727" i="2"/>
  <c r="H727" i="2"/>
  <c r="G727" i="2"/>
  <c r="K726" i="2"/>
  <c r="J726" i="2"/>
  <c r="I726" i="2"/>
  <c r="H726" i="2"/>
  <c r="G726" i="2"/>
  <c r="K725" i="2"/>
  <c r="J725" i="2"/>
  <c r="I725" i="2"/>
  <c r="H725" i="2"/>
  <c r="G725" i="2"/>
  <c r="K724" i="2"/>
  <c r="J724" i="2"/>
  <c r="I724" i="2"/>
  <c r="H724" i="2"/>
  <c r="G724" i="2"/>
  <c r="L724" i="2" s="1"/>
  <c r="K723" i="2"/>
  <c r="J723" i="2"/>
  <c r="I723" i="2"/>
  <c r="H723" i="2"/>
  <c r="G723" i="2"/>
  <c r="K722" i="2"/>
  <c r="J722" i="2"/>
  <c r="I722" i="2"/>
  <c r="H722" i="2"/>
  <c r="G722" i="2"/>
  <c r="K721" i="2"/>
  <c r="J721" i="2"/>
  <c r="I721" i="2"/>
  <c r="H721" i="2"/>
  <c r="G721" i="2"/>
  <c r="K720" i="2"/>
  <c r="L720" i="2" s="1"/>
  <c r="J720" i="2"/>
  <c r="I720" i="2"/>
  <c r="H720" i="2"/>
  <c r="G720" i="2"/>
  <c r="K719" i="2"/>
  <c r="J719" i="2"/>
  <c r="I719" i="2"/>
  <c r="H719" i="2"/>
  <c r="G719" i="2"/>
  <c r="K718" i="2"/>
  <c r="J718" i="2"/>
  <c r="I718" i="2"/>
  <c r="H718" i="2"/>
  <c r="G718" i="2"/>
  <c r="K717" i="2"/>
  <c r="J717" i="2"/>
  <c r="I717" i="2"/>
  <c r="H717" i="2"/>
  <c r="G717" i="2"/>
  <c r="K716" i="2"/>
  <c r="J716" i="2"/>
  <c r="I716" i="2"/>
  <c r="H716" i="2"/>
  <c r="G716" i="2"/>
  <c r="K715" i="2"/>
  <c r="J715" i="2"/>
  <c r="I715" i="2"/>
  <c r="H715" i="2"/>
  <c r="G715" i="2"/>
  <c r="K714" i="2"/>
  <c r="J714" i="2"/>
  <c r="I714" i="2"/>
  <c r="L714" i="2" s="1"/>
  <c r="H714" i="2"/>
  <c r="G714" i="2"/>
  <c r="K713" i="2"/>
  <c r="J713" i="2"/>
  <c r="I713" i="2"/>
  <c r="H713" i="2"/>
  <c r="G713" i="2"/>
  <c r="K712" i="2"/>
  <c r="J712" i="2"/>
  <c r="I712" i="2"/>
  <c r="H712" i="2"/>
  <c r="G712" i="2"/>
  <c r="K711" i="2"/>
  <c r="J711" i="2"/>
  <c r="I711" i="2"/>
  <c r="H711" i="2"/>
  <c r="G711" i="2"/>
  <c r="K710" i="2"/>
  <c r="J710" i="2"/>
  <c r="I710" i="2"/>
  <c r="H710" i="2"/>
  <c r="G710" i="2"/>
  <c r="K709" i="2"/>
  <c r="J709" i="2"/>
  <c r="I709" i="2"/>
  <c r="H709" i="2"/>
  <c r="G709" i="2"/>
  <c r="K708" i="2"/>
  <c r="J708" i="2"/>
  <c r="I708" i="2"/>
  <c r="H708" i="2"/>
  <c r="G708" i="2"/>
  <c r="K707" i="2"/>
  <c r="J707" i="2"/>
  <c r="I707" i="2"/>
  <c r="H707" i="2"/>
  <c r="G707" i="2"/>
  <c r="K706" i="2"/>
  <c r="J706" i="2"/>
  <c r="I706" i="2"/>
  <c r="L706" i="2" s="1"/>
  <c r="H706" i="2"/>
  <c r="G706" i="2"/>
  <c r="K705" i="2"/>
  <c r="J705" i="2"/>
  <c r="I705" i="2"/>
  <c r="H705" i="2"/>
  <c r="G705" i="2"/>
  <c r="K704" i="2"/>
  <c r="L704" i="2" s="1"/>
  <c r="J704" i="2"/>
  <c r="I704" i="2"/>
  <c r="H704" i="2"/>
  <c r="G704" i="2"/>
  <c r="K703" i="2"/>
  <c r="J703" i="2"/>
  <c r="I703" i="2"/>
  <c r="H703" i="2"/>
  <c r="G703" i="2"/>
  <c r="K702" i="2"/>
  <c r="J702" i="2"/>
  <c r="I702" i="2"/>
  <c r="H702" i="2"/>
  <c r="G702" i="2"/>
  <c r="K701" i="2"/>
  <c r="J701" i="2"/>
  <c r="I701" i="2"/>
  <c r="H701" i="2"/>
  <c r="G701" i="2"/>
  <c r="K700" i="2"/>
  <c r="J700" i="2"/>
  <c r="I700" i="2"/>
  <c r="H700" i="2"/>
  <c r="G700" i="2"/>
  <c r="K699" i="2"/>
  <c r="J699" i="2"/>
  <c r="I699" i="2"/>
  <c r="H699" i="2"/>
  <c r="G699" i="2"/>
  <c r="K698" i="2"/>
  <c r="J698" i="2"/>
  <c r="I698" i="2"/>
  <c r="L698" i="2" s="1"/>
  <c r="H698" i="2"/>
  <c r="G698" i="2"/>
  <c r="K697" i="2"/>
  <c r="J697" i="2"/>
  <c r="I697" i="2"/>
  <c r="H697" i="2"/>
  <c r="G697" i="2"/>
  <c r="K696" i="2"/>
  <c r="J696" i="2"/>
  <c r="I696" i="2"/>
  <c r="H696" i="2"/>
  <c r="G696" i="2"/>
  <c r="K695" i="2"/>
  <c r="J695" i="2"/>
  <c r="I695" i="2"/>
  <c r="H695" i="2"/>
  <c r="G695" i="2"/>
  <c r="K694" i="2"/>
  <c r="J694" i="2"/>
  <c r="I694" i="2"/>
  <c r="H694" i="2"/>
  <c r="G694" i="2"/>
  <c r="K693" i="2"/>
  <c r="J693" i="2"/>
  <c r="I693" i="2"/>
  <c r="H693" i="2"/>
  <c r="G693" i="2"/>
  <c r="K692" i="2"/>
  <c r="J692" i="2"/>
  <c r="I692" i="2"/>
  <c r="H692" i="2"/>
  <c r="G692" i="2"/>
  <c r="K691" i="2"/>
  <c r="J691" i="2"/>
  <c r="I691" i="2"/>
  <c r="H691" i="2"/>
  <c r="G691" i="2"/>
  <c r="K690" i="2"/>
  <c r="J690" i="2"/>
  <c r="I690" i="2"/>
  <c r="H690" i="2"/>
  <c r="G690" i="2"/>
  <c r="K689" i="2"/>
  <c r="J689" i="2"/>
  <c r="I689" i="2"/>
  <c r="H689" i="2"/>
  <c r="G689" i="2"/>
  <c r="K688" i="2"/>
  <c r="J688" i="2"/>
  <c r="I688" i="2"/>
  <c r="H688" i="2"/>
  <c r="G688" i="2"/>
  <c r="K687" i="2"/>
  <c r="J687" i="2"/>
  <c r="I687" i="2"/>
  <c r="H687" i="2"/>
  <c r="G687" i="2"/>
  <c r="K686" i="2"/>
  <c r="J686" i="2"/>
  <c r="I686" i="2"/>
  <c r="H686" i="2"/>
  <c r="G686" i="2"/>
  <c r="K685" i="2"/>
  <c r="J685" i="2"/>
  <c r="I685" i="2"/>
  <c r="H685" i="2"/>
  <c r="G685" i="2"/>
  <c r="K684" i="2"/>
  <c r="J684" i="2"/>
  <c r="I684" i="2"/>
  <c r="H684" i="2"/>
  <c r="G684" i="2"/>
  <c r="K683" i="2"/>
  <c r="J683" i="2"/>
  <c r="I683" i="2"/>
  <c r="H683" i="2"/>
  <c r="G683" i="2"/>
  <c r="K682" i="2"/>
  <c r="J682" i="2"/>
  <c r="I682" i="2"/>
  <c r="H682" i="2"/>
  <c r="G682" i="2"/>
  <c r="K681" i="2"/>
  <c r="J681" i="2"/>
  <c r="I681" i="2"/>
  <c r="H681" i="2"/>
  <c r="G681" i="2"/>
  <c r="K680" i="2"/>
  <c r="J680" i="2"/>
  <c r="I680" i="2"/>
  <c r="H680" i="2"/>
  <c r="G680" i="2"/>
  <c r="K679" i="2"/>
  <c r="J679" i="2"/>
  <c r="I679" i="2"/>
  <c r="H679" i="2"/>
  <c r="G679" i="2"/>
  <c r="K678" i="2"/>
  <c r="J678" i="2"/>
  <c r="I678" i="2"/>
  <c r="H678" i="2"/>
  <c r="G678" i="2"/>
  <c r="K677" i="2"/>
  <c r="J677" i="2"/>
  <c r="I677" i="2"/>
  <c r="H677" i="2"/>
  <c r="G677" i="2"/>
  <c r="K676" i="2"/>
  <c r="J676" i="2"/>
  <c r="I676" i="2"/>
  <c r="H676" i="2"/>
  <c r="G676" i="2"/>
  <c r="K675" i="2"/>
  <c r="J675" i="2"/>
  <c r="I675" i="2"/>
  <c r="H675" i="2"/>
  <c r="G675" i="2"/>
  <c r="K674" i="2"/>
  <c r="J674" i="2"/>
  <c r="I674" i="2"/>
  <c r="L674" i="2" s="1"/>
  <c r="H674" i="2"/>
  <c r="G674" i="2"/>
  <c r="K673" i="2"/>
  <c r="J673" i="2"/>
  <c r="I673" i="2"/>
  <c r="H673" i="2"/>
  <c r="G673" i="2"/>
  <c r="K672" i="2"/>
  <c r="J672" i="2"/>
  <c r="I672" i="2"/>
  <c r="H672" i="2"/>
  <c r="G672" i="2"/>
  <c r="K671" i="2"/>
  <c r="J671" i="2"/>
  <c r="I671" i="2"/>
  <c r="H671" i="2"/>
  <c r="G671" i="2"/>
  <c r="K670" i="2"/>
  <c r="J670" i="2"/>
  <c r="I670" i="2"/>
  <c r="H670" i="2"/>
  <c r="G670" i="2"/>
  <c r="K669" i="2"/>
  <c r="J669" i="2"/>
  <c r="I669" i="2"/>
  <c r="H669" i="2"/>
  <c r="G669" i="2"/>
  <c r="K668" i="2"/>
  <c r="J668" i="2"/>
  <c r="I668" i="2"/>
  <c r="H668" i="2"/>
  <c r="G668" i="2"/>
  <c r="K667" i="2"/>
  <c r="J667" i="2"/>
  <c r="I667" i="2"/>
  <c r="H667" i="2"/>
  <c r="G667" i="2"/>
  <c r="K666" i="2"/>
  <c r="J666" i="2"/>
  <c r="I666" i="2"/>
  <c r="L666" i="2" s="1"/>
  <c r="H666" i="2"/>
  <c r="G666" i="2"/>
  <c r="K665" i="2"/>
  <c r="J665" i="2"/>
  <c r="I665" i="2"/>
  <c r="H665" i="2"/>
  <c r="G665" i="2"/>
  <c r="K664" i="2"/>
  <c r="J664" i="2"/>
  <c r="I664" i="2"/>
  <c r="H664" i="2"/>
  <c r="G664" i="2"/>
  <c r="K663" i="2"/>
  <c r="J663" i="2"/>
  <c r="I663" i="2"/>
  <c r="H663" i="2"/>
  <c r="G663" i="2"/>
  <c r="K662" i="2"/>
  <c r="J662" i="2"/>
  <c r="I662" i="2"/>
  <c r="H662" i="2"/>
  <c r="G662" i="2"/>
  <c r="K661" i="2"/>
  <c r="J661" i="2"/>
  <c r="I661" i="2"/>
  <c r="H661" i="2"/>
  <c r="G661" i="2"/>
  <c r="K660" i="2"/>
  <c r="J660" i="2"/>
  <c r="I660" i="2"/>
  <c r="H660" i="2"/>
  <c r="G660" i="2"/>
  <c r="K659" i="2"/>
  <c r="J659" i="2"/>
  <c r="I659" i="2"/>
  <c r="H659" i="2"/>
  <c r="G659" i="2"/>
  <c r="K658" i="2"/>
  <c r="J658" i="2"/>
  <c r="I658" i="2"/>
  <c r="L658" i="2" s="1"/>
  <c r="H658" i="2"/>
  <c r="G658" i="2"/>
  <c r="K657" i="2"/>
  <c r="J657" i="2"/>
  <c r="I657" i="2"/>
  <c r="H657" i="2"/>
  <c r="G657" i="2"/>
  <c r="K656" i="2"/>
  <c r="J656" i="2"/>
  <c r="I656" i="2"/>
  <c r="H656" i="2"/>
  <c r="G656" i="2"/>
  <c r="K655" i="2"/>
  <c r="J655" i="2"/>
  <c r="I655" i="2"/>
  <c r="H655" i="2"/>
  <c r="G655" i="2"/>
  <c r="K654" i="2"/>
  <c r="J654" i="2"/>
  <c r="I654" i="2"/>
  <c r="H654" i="2"/>
  <c r="G654" i="2"/>
  <c r="K653" i="2"/>
  <c r="J653" i="2"/>
  <c r="I653" i="2"/>
  <c r="H653" i="2"/>
  <c r="G653" i="2"/>
  <c r="K652" i="2"/>
  <c r="J652" i="2"/>
  <c r="I652" i="2"/>
  <c r="H652" i="2"/>
  <c r="G652" i="2"/>
  <c r="K651" i="2"/>
  <c r="J651" i="2"/>
  <c r="I651" i="2"/>
  <c r="H651" i="2"/>
  <c r="G651" i="2"/>
  <c r="K650" i="2"/>
  <c r="J650" i="2"/>
  <c r="I650" i="2"/>
  <c r="L650" i="2" s="1"/>
  <c r="H650" i="2"/>
  <c r="G650" i="2"/>
  <c r="K649" i="2"/>
  <c r="J649" i="2"/>
  <c r="I649" i="2"/>
  <c r="H649" i="2"/>
  <c r="G649" i="2"/>
  <c r="K648" i="2"/>
  <c r="J648" i="2"/>
  <c r="I648" i="2"/>
  <c r="H648" i="2"/>
  <c r="G648" i="2"/>
  <c r="K647" i="2"/>
  <c r="J647" i="2"/>
  <c r="I647" i="2"/>
  <c r="H647" i="2"/>
  <c r="G647" i="2"/>
  <c r="K646" i="2"/>
  <c r="J646" i="2"/>
  <c r="I646" i="2"/>
  <c r="H646" i="2"/>
  <c r="G646" i="2"/>
  <c r="K645" i="2"/>
  <c r="J645" i="2"/>
  <c r="I645" i="2"/>
  <c r="H645" i="2"/>
  <c r="G645" i="2"/>
  <c r="K644" i="2"/>
  <c r="J644" i="2"/>
  <c r="I644" i="2"/>
  <c r="H644" i="2"/>
  <c r="G644" i="2"/>
  <c r="K643" i="2"/>
  <c r="J643" i="2"/>
  <c r="I643" i="2"/>
  <c r="H643" i="2"/>
  <c r="G643" i="2"/>
  <c r="K642" i="2"/>
  <c r="J642" i="2"/>
  <c r="I642" i="2"/>
  <c r="H642" i="2"/>
  <c r="G642" i="2"/>
  <c r="K641" i="2"/>
  <c r="J641" i="2"/>
  <c r="I641" i="2"/>
  <c r="H641" i="2"/>
  <c r="G641" i="2"/>
  <c r="K640" i="2"/>
  <c r="J640" i="2"/>
  <c r="I640" i="2"/>
  <c r="H640" i="2"/>
  <c r="G640" i="2"/>
  <c r="K639" i="2"/>
  <c r="J639" i="2"/>
  <c r="I639" i="2"/>
  <c r="H639" i="2"/>
  <c r="G639" i="2"/>
  <c r="K638" i="2"/>
  <c r="J638" i="2"/>
  <c r="I638" i="2"/>
  <c r="H638" i="2"/>
  <c r="G638" i="2"/>
  <c r="K637" i="2"/>
  <c r="J637" i="2"/>
  <c r="I637" i="2"/>
  <c r="H637" i="2"/>
  <c r="G637" i="2"/>
  <c r="K636" i="2"/>
  <c r="J636" i="2"/>
  <c r="I636" i="2"/>
  <c r="H636" i="2"/>
  <c r="G636" i="2"/>
  <c r="K635" i="2"/>
  <c r="J635" i="2"/>
  <c r="I635" i="2"/>
  <c r="H635" i="2"/>
  <c r="G635" i="2"/>
  <c r="K634" i="2"/>
  <c r="J634" i="2"/>
  <c r="I634" i="2"/>
  <c r="L634" i="2" s="1"/>
  <c r="H634" i="2"/>
  <c r="G634" i="2"/>
  <c r="K633" i="2"/>
  <c r="J633" i="2"/>
  <c r="I633" i="2"/>
  <c r="H633" i="2"/>
  <c r="G633" i="2"/>
  <c r="K632" i="2"/>
  <c r="J632" i="2"/>
  <c r="I632" i="2"/>
  <c r="H632" i="2"/>
  <c r="G632" i="2"/>
  <c r="K631" i="2"/>
  <c r="J631" i="2"/>
  <c r="I631" i="2"/>
  <c r="H631" i="2"/>
  <c r="G631" i="2"/>
  <c r="K630" i="2"/>
  <c r="J630" i="2"/>
  <c r="I630" i="2"/>
  <c r="H630" i="2"/>
  <c r="G630" i="2"/>
  <c r="K629" i="2"/>
  <c r="J629" i="2"/>
  <c r="I629" i="2"/>
  <c r="H629" i="2"/>
  <c r="G629" i="2"/>
  <c r="K628" i="2"/>
  <c r="J628" i="2"/>
  <c r="I628" i="2"/>
  <c r="H628" i="2"/>
  <c r="G628" i="2"/>
  <c r="K627" i="2"/>
  <c r="J627" i="2"/>
  <c r="I627" i="2"/>
  <c r="H627" i="2"/>
  <c r="G627" i="2"/>
  <c r="K626" i="2"/>
  <c r="J626" i="2"/>
  <c r="I626" i="2"/>
  <c r="H626" i="2"/>
  <c r="G626" i="2"/>
  <c r="K625" i="2"/>
  <c r="J625" i="2"/>
  <c r="I625" i="2"/>
  <c r="H625" i="2"/>
  <c r="G625" i="2"/>
  <c r="K624" i="2"/>
  <c r="J624" i="2"/>
  <c r="I624" i="2"/>
  <c r="H624" i="2"/>
  <c r="G624" i="2"/>
  <c r="K623" i="2"/>
  <c r="J623" i="2"/>
  <c r="I623" i="2"/>
  <c r="H623" i="2"/>
  <c r="G623" i="2"/>
  <c r="K622" i="2"/>
  <c r="J622" i="2"/>
  <c r="I622" i="2"/>
  <c r="H622" i="2"/>
  <c r="G622" i="2"/>
  <c r="K621" i="2"/>
  <c r="J621" i="2"/>
  <c r="I621" i="2"/>
  <c r="H621" i="2"/>
  <c r="G621" i="2"/>
  <c r="K620" i="2"/>
  <c r="J620" i="2"/>
  <c r="I620" i="2"/>
  <c r="H620" i="2"/>
  <c r="G620" i="2"/>
  <c r="K619" i="2"/>
  <c r="J619" i="2"/>
  <c r="I619" i="2"/>
  <c r="H619" i="2"/>
  <c r="G619" i="2"/>
  <c r="K618" i="2"/>
  <c r="J618" i="2"/>
  <c r="I618" i="2"/>
  <c r="L618" i="2" s="1"/>
  <c r="H618" i="2"/>
  <c r="G618" i="2"/>
  <c r="K617" i="2"/>
  <c r="J617" i="2"/>
  <c r="I617" i="2"/>
  <c r="H617" i="2"/>
  <c r="G617" i="2"/>
  <c r="K616" i="2"/>
  <c r="J616" i="2"/>
  <c r="I616" i="2"/>
  <c r="H616" i="2"/>
  <c r="G616" i="2"/>
  <c r="K615" i="2"/>
  <c r="J615" i="2"/>
  <c r="I615" i="2"/>
  <c r="H615" i="2"/>
  <c r="G615" i="2"/>
  <c r="K614" i="2"/>
  <c r="J614" i="2"/>
  <c r="I614" i="2"/>
  <c r="H614" i="2"/>
  <c r="G614" i="2"/>
  <c r="K613" i="2"/>
  <c r="J613" i="2"/>
  <c r="I613" i="2"/>
  <c r="H613" i="2"/>
  <c r="G613" i="2"/>
  <c r="K612" i="2"/>
  <c r="J612" i="2"/>
  <c r="I612" i="2"/>
  <c r="H612" i="2"/>
  <c r="G612" i="2"/>
  <c r="K611" i="2"/>
  <c r="J611" i="2"/>
  <c r="I611" i="2"/>
  <c r="H611" i="2"/>
  <c r="G611" i="2"/>
  <c r="K610" i="2"/>
  <c r="J610" i="2"/>
  <c r="I610" i="2"/>
  <c r="L610" i="2" s="1"/>
  <c r="H610" i="2"/>
  <c r="G610" i="2"/>
  <c r="K609" i="2"/>
  <c r="J609" i="2"/>
  <c r="I609" i="2"/>
  <c r="H609" i="2"/>
  <c r="G609" i="2"/>
  <c r="K608" i="2"/>
  <c r="J608" i="2"/>
  <c r="I608" i="2"/>
  <c r="H608" i="2"/>
  <c r="G608" i="2"/>
  <c r="K607" i="2"/>
  <c r="J607" i="2"/>
  <c r="I607" i="2"/>
  <c r="H607" i="2"/>
  <c r="G607" i="2"/>
  <c r="K606" i="2"/>
  <c r="J606" i="2"/>
  <c r="I606" i="2"/>
  <c r="H606" i="2"/>
  <c r="G606" i="2"/>
  <c r="K605" i="2"/>
  <c r="J605" i="2"/>
  <c r="I605" i="2"/>
  <c r="H605" i="2"/>
  <c r="G605" i="2"/>
  <c r="K604" i="2"/>
  <c r="J604" i="2"/>
  <c r="I604" i="2"/>
  <c r="H604" i="2"/>
  <c r="G604" i="2"/>
  <c r="K603" i="2"/>
  <c r="J603" i="2"/>
  <c r="I603" i="2"/>
  <c r="H603" i="2"/>
  <c r="G603" i="2"/>
  <c r="K602" i="2"/>
  <c r="J602" i="2"/>
  <c r="I602" i="2"/>
  <c r="H602" i="2"/>
  <c r="G602" i="2"/>
  <c r="K601" i="2"/>
  <c r="J601" i="2"/>
  <c r="I601" i="2"/>
  <c r="H601" i="2"/>
  <c r="G601" i="2"/>
  <c r="K600" i="2"/>
  <c r="J600" i="2"/>
  <c r="I600" i="2"/>
  <c r="H600" i="2"/>
  <c r="G600" i="2"/>
  <c r="K599" i="2"/>
  <c r="J599" i="2"/>
  <c r="I599" i="2"/>
  <c r="H599" i="2"/>
  <c r="G599" i="2"/>
  <c r="K598" i="2"/>
  <c r="J598" i="2"/>
  <c r="I598" i="2"/>
  <c r="H598" i="2"/>
  <c r="G598" i="2"/>
  <c r="K597" i="2"/>
  <c r="J597" i="2"/>
  <c r="I597" i="2"/>
  <c r="H597" i="2"/>
  <c r="G597" i="2"/>
  <c r="K596" i="2"/>
  <c r="J596" i="2"/>
  <c r="I596" i="2"/>
  <c r="H596" i="2"/>
  <c r="G596" i="2"/>
  <c r="K595" i="2"/>
  <c r="J595" i="2"/>
  <c r="I595" i="2"/>
  <c r="H595" i="2"/>
  <c r="G595" i="2"/>
  <c r="K594" i="2"/>
  <c r="J594" i="2"/>
  <c r="I594" i="2"/>
  <c r="L594" i="2" s="1"/>
  <c r="H594" i="2"/>
  <c r="G594" i="2"/>
  <c r="K593" i="2"/>
  <c r="J593" i="2"/>
  <c r="I593" i="2"/>
  <c r="H593" i="2"/>
  <c r="G593" i="2"/>
  <c r="K592" i="2"/>
  <c r="J592" i="2"/>
  <c r="I592" i="2"/>
  <c r="H592" i="2"/>
  <c r="G592" i="2"/>
  <c r="K591" i="2"/>
  <c r="J591" i="2"/>
  <c r="I591" i="2"/>
  <c r="H591" i="2"/>
  <c r="G591" i="2"/>
  <c r="K590" i="2"/>
  <c r="J590" i="2"/>
  <c r="I590" i="2"/>
  <c r="H590" i="2"/>
  <c r="G590" i="2"/>
  <c r="K589" i="2"/>
  <c r="J589" i="2"/>
  <c r="I589" i="2"/>
  <c r="H589" i="2"/>
  <c r="G589" i="2"/>
  <c r="K588" i="2"/>
  <c r="J588" i="2"/>
  <c r="I588" i="2"/>
  <c r="H588" i="2"/>
  <c r="G588" i="2"/>
  <c r="K587" i="2"/>
  <c r="J587" i="2"/>
  <c r="I587" i="2"/>
  <c r="H587" i="2"/>
  <c r="G587" i="2"/>
  <c r="K586" i="2"/>
  <c r="J586" i="2"/>
  <c r="I586" i="2"/>
  <c r="L586" i="2" s="1"/>
  <c r="H586" i="2"/>
  <c r="G586" i="2"/>
  <c r="K585" i="2"/>
  <c r="J585" i="2"/>
  <c r="I585" i="2"/>
  <c r="H585" i="2"/>
  <c r="G585" i="2"/>
  <c r="K584" i="2"/>
  <c r="J584" i="2"/>
  <c r="I584" i="2"/>
  <c r="H584" i="2"/>
  <c r="G584" i="2"/>
  <c r="K583" i="2"/>
  <c r="J583" i="2"/>
  <c r="I583" i="2"/>
  <c r="H583" i="2"/>
  <c r="G583" i="2"/>
  <c r="K582" i="2"/>
  <c r="J582" i="2"/>
  <c r="I582" i="2"/>
  <c r="H582" i="2"/>
  <c r="G582" i="2"/>
  <c r="K581" i="2"/>
  <c r="J581" i="2"/>
  <c r="I581" i="2"/>
  <c r="H581" i="2"/>
  <c r="G581" i="2"/>
  <c r="K580" i="2"/>
  <c r="J580" i="2"/>
  <c r="I580" i="2"/>
  <c r="H580" i="2"/>
  <c r="G580" i="2"/>
  <c r="K579" i="2"/>
  <c r="J579" i="2"/>
  <c r="I579" i="2"/>
  <c r="H579" i="2"/>
  <c r="G579" i="2"/>
  <c r="K578" i="2"/>
  <c r="J578" i="2"/>
  <c r="I578" i="2"/>
  <c r="L578" i="2" s="1"/>
  <c r="H578" i="2"/>
  <c r="G578" i="2"/>
  <c r="K577" i="2"/>
  <c r="J577" i="2"/>
  <c r="I577" i="2"/>
  <c r="H577" i="2"/>
  <c r="G577" i="2"/>
  <c r="K576" i="2"/>
  <c r="J576" i="2"/>
  <c r="I576" i="2"/>
  <c r="H576" i="2"/>
  <c r="G576" i="2"/>
  <c r="K575" i="2"/>
  <c r="J575" i="2"/>
  <c r="I575" i="2"/>
  <c r="H575" i="2"/>
  <c r="G575" i="2"/>
  <c r="K574" i="2"/>
  <c r="J574" i="2"/>
  <c r="I574" i="2"/>
  <c r="H574" i="2"/>
  <c r="G574" i="2"/>
  <c r="K573" i="2"/>
  <c r="J573" i="2"/>
  <c r="I573" i="2"/>
  <c r="H573" i="2"/>
  <c r="G573" i="2"/>
  <c r="K572" i="2"/>
  <c r="J572" i="2"/>
  <c r="I572" i="2"/>
  <c r="H572" i="2"/>
  <c r="G572" i="2"/>
  <c r="K571" i="2"/>
  <c r="J571" i="2"/>
  <c r="I571" i="2"/>
  <c r="H571" i="2"/>
  <c r="G571" i="2"/>
  <c r="L571" i="2" s="1"/>
  <c r="K570" i="2"/>
  <c r="J570" i="2"/>
  <c r="I570" i="2"/>
  <c r="L570" i="2" s="1"/>
  <c r="H570" i="2"/>
  <c r="G570" i="2"/>
  <c r="K569" i="2"/>
  <c r="J569" i="2"/>
  <c r="I569" i="2"/>
  <c r="H569" i="2"/>
  <c r="G569" i="2"/>
  <c r="K568" i="2"/>
  <c r="J568" i="2"/>
  <c r="I568" i="2"/>
  <c r="H568" i="2"/>
  <c r="G568" i="2"/>
  <c r="K567" i="2"/>
  <c r="J567" i="2"/>
  <c r="I567" i="2"/>
  <c r="H567" i="2"/>
  <c r="G567" i="2"/>
  <c r="K566" i="2"/>
  <c r="J566" i="2"/>
  <c r="I566" i="2"/>
  <c r="H566" i="2"/>
  <c r="G566" i="2"/>
  <c r="K565" i="2"/>
  <c r="J565" i="2"/>
  <c r="I565" i="2"/>
  <c r="H565" i="2"/>
  <c r="G565" i="2"/>
  <c r="K564" i="2"/>
  <c r="J564" i="2"/>
  <c r="I564" i="2"/>
  <c r="H564" i="2"/>
  <c r="G564" i="2"/>
  <c r="K563" i="2"/>
  <c r="J563" i="2"/>
  <c r="I563" i="2"/>
  <c r="H563" i="2"/>
  <c r="G563" i="2"/>
  <c r="K562" i="2"/>
  <c r="J562" i="2"/>
  <c r="I562" i="2"/>
  <c r="H562" i="2"/>
  <c r="G562" i="2"/>
  <c r="K561" i="2"/>
  <c r="J561" i="2"/>
  <c r="I561" i="2"/>
  <c r="H561" i="2"/>
  <c r="G561" i="2"/>
  <c r="K560" i="2"/>
  <c r="J560" i="2"/>
  <c r="I560" i="2"/>
  <c r="H560" i="2"/>
  <c r="G560" i="2"/>
  <c r="K559" i="2"/>
  <c r="J559" i="2"/>
  <c r="I559" i="2"/>
  <c r="H559" i="2"/>
  <c r="G559" i="2"/>
  <c r="K558" i="2"/>
  <c r="J558" i="2"/>
  <c r="I558" i="2"/>
  <c r="H558" i="2"/>
  <c r="G558" i="2"/>
  <c r="K557" i="2"/>
  <c r="J557" i="2"/>
  <c r="I557" i="2"/>
  <c r="H557" i="2"/>
  <c r="G557" i="2"/>
  <c r="K556" i="2"/>
  <c r="J556" i="2"/>
  <c r="I556" i="2"/>
  <c r="H556" i="2"/>
  <c r="G556" i="2"/>
  <c r="K555" i="2"/>
  <c r="J555" i="2"/>
  <c r="I555" i="2"/>
  <c r="H555" i="2"/>
  <c r="G555" i="2"/>
  <c r="K554" i="2"/>
  <c r="J554" i="2"/>
  <c r="I554" i="2"/>
  <c r="H554" i="2"/>
  <c r="G554" i="2"/>
  <c r="K553" i="2"/>
  <c r="J553" i="2"/>
  <c r="I553" i="2"/>
  <c r="H553" i="2"/>
  <c r="G553" i="2"/>
  <c r="K552" i="2"/>
  <c r="J552" i="2"/>
  <c r="I552" i="2"/>
  <c r="H552" i="2"/>
  <c r="G552" i="2"/>
  <c r="K551" i="2"/>
  <c r="J551" i="2"/>
  <c r="I551" i="2"/>
  <c r="H551" i="2"/>
  <c r="G551" i="2"/>
  <c r="K550" i="2"/>
  <c r="J550" i="2"/>
  <c r="I550" i="2"/>
  <c r="H550" i="2"/>
  <c r="G550" i="2"/>
  <c r="K549" i="2"/>
  <c r="J549" i="2"/>
  <c r="I549" i="2"/>
  <c r="H549" i="2"/>
  <c r="G549" i="2"/>
  <c r="K548" i="2"/>
  <c r="J548" i="2"/>
  <c r="I548" i="2"/>
  <c r="H548" i="2"/>
  <c r="G548" i="2"/>
  <c r="K547" i="2"/>
  <c r="J547" i="2"/>
  <c r="I547" i="2"/>
  <c r="H547" i="2"/>
  <c r="G547" i="2"/>
  <c r="K546" i="2"/>
  <c r="J546" i="2"/>
  <c r="I546" i="2"/>
  <c r="H546" i="2"/>
  <c r="G546" i="2"/>
  <c r="K545" i="2"/>
  <c r="J545" i="2"/>
  <c r="I545" i="2"/>
  <c r="H545" i="2"/>
  <c r="G545" i="2"/>
  <c r="K544" i="2"/>
  <c r="J544" i="2"/>
  <c r="I544" i="2"/>
  <c r="H544" i="2"/>
  <c r="G544" i="2"/>
  <c r="K543" i="2"/>
  <c r="J543" i="2"/>
  <c r="I543" i="2"/>
  <c r="H543" i="2"/>
  <c r="G543" i="2"/>
  <c r="K542" i="2"/>
  <c r="J542" i="2"/>
  <c r="I542" i="2"/>
  <c r="H542" i="2"/>
  <c r="G542" i="2"/>
  <c r="K541" i="2"/>
  <c r="J541" i="2"/>
  <c r="I541" i="2"/>
  <c r="H541" i="2"/>
  <c r="G541" i="2"/>
  <c r="K540" i="2"/>
  <c r="J540" i="2"/>
  <c r="I540" i="2"/>
  <c r="H540" i="2"/>
  <c r="G540" i="2"/>
  <c r="K539" i="2"/>
  <c r="J539" i="2"/>
  <c r="I539" i="2"/>
  <c r="H539" i="2"/>
  <c r="G539" i="2"/>
  <c r="K538" i="2"/>
  <c r="J538" i="2"/>
  <c r="I538" i="2"/>
  <c r="L538" i="2" s="1"/>
  <c r="H538" i="2"/>
  <c r="G538" i="2"/>
  <c r="K537" i="2"/>
  <c r="J537" i="2"/>
  <c r="I537" i="2"/>
  <c r="H537" i="2"/>
  <c r="G537" i="2"/>
  <c r="K536" i="2"/>
  <c r="J536" i="2"/>
  <c r="I536" i="2"/>
  <c r="H536" i="2"/>
  <c r="G536" i="2"/>
  <c r="K535" i="2"/>
  <c r="J535" i="2"/>
  <c r="I535" i="2"/>
  <c r="H535" i="2"/>
  <c r="G535" i="2"/>
  <c r="K534" i="2"/>
  <c r="J534" i="2"/>
  <c r="I534" i="2"/>
  <c r="H534" i="2"/>
  <c r="G534" i="2"/>
  <c r="K533" i="2"/>
  <c r="J533" i="2"/>
  <c r="I533" i="2"/>
  <c r="H533" i="2"/>
  <c r="G533" i="2"/>
  <c r="K532" i="2"/>
  <c r="J532" i="2"/>
  <c r="I532" i="2"/>
  <c r="H532" i="2"/>
  <c r="G532" i="2"/>
  <c r="K531" i="2"/>
  <c r="J531" i="2"/>
  <c r="I531" i="2"/>
  <c r="H531" i="2"/>
  <c r="G531" i="2"/>
  <c r="K530" i="2"/>
  <c r="J530" i="2"/>
  <c r="I530" i="2"/>
  <c r="H530" i="2"/>
  <c r="G530" i="2"/>
  <c r="K529" i="2"/>
  <c r="J529" i="2"/>
  <c r="I529" i="2"/>
  <c r="H529" i="2"/>
  <c r="G529" i="2"/>
  <c r="K528" i="2"/>
  <c r="J528" i="2"/>
  <c r="I528" i="2"/>
  <c r="H528" i="2"/>
  <c r="G528" i="2"/>
  <c r="K527" i="2"/>
  <c r="J527" i="2"/>
  <c r="I527" i="2"/>
  <c r="H527" i="2"/>
  <c r="G527" i="2"/>
  <c r="K526" i="2"/>
  <c r="J526" i="2"/>
  <c r="I526" i="2"/>
  <c r="H526" i="2"/>
  <c r="G526" i="2"/>
  <c r="K525" i="2"/>
  <c r="J525" i="2"/>
  <c r="I525" i="2"/>
  <c r="H525" i="2"/>
  <c r="G525" i="2"/>
  <c r="K524" i="2"/>
  <c r="J524" i="2"/>
  <c r="I524" i="2"/>
  <c r="H524" i="2"/>
  <c r="G524" i="2"/>
  <c r="K523" i="2"/>
  <c r="J523" i="2"/>
  <c r="I523" i="2"/>
  <c r="H523" i="2"/>
  <c r="G523" i="2"/>
  <c r="L523" i="2" s="1"/>
  <c r="K522" i="2"/>
  <c r="J522" i="2"/>
  <c r="I522" i="2"/>
  <c r="H522" i="2"/>
  <c r="G522" i="2"/>
  <c r="K521" i="2"/>
  <c r="J521" i="2"/>
  <c r="I521" i="2"/>
  <c r="H521" i="2"/>
  <c r="G521" i="2"/>
  <c r="K520" i="2"/>
  <c r="J520" i="2"/>
  <c r="I520" i="2"/>
  <c r="H520" i="2"/>
  <c r="G520" i="2"/>
  <c r="K519" i="2"/>
  <c r="J519" i="2"/>
  <c r="I519" i="2"/>
  <c r="H519" i="2"/>
  <c r="G519" i="2"/>
  <c r="K518" i="2"/>
  <c r="J518" i="2"/>
  <c r="I518" i="2"/>
  <c r="H518" i="2"/>
  <c r="G518" i="2"/>
  <c r="K517" i="2"/>
  <c r="J517" i="2"/>
  <c r="I517" i="2"/>
  <c r="H517" i="2"/>
  <c r="G517" i="2"/>
  <c r="K516" i="2"/>
  <c r="J516" i="2"/>
  <c r="I516" i="2"/>
  <c r="H516" i="2"/>
  <c r="G516" i="2"/>
  <c r="K515" i="2"/>
  <c r="J515" i="2"/>
  <c r="I515" i="2"/>
  <c r="H515" i="2"/>
  <c r="G515" i="2"/>
  <c r="K514" i="2"/>
  <c r="J514" i="2"/>
  <c r="I514" i="2"/>
  <c r="H514" i="2"/>
  <c r="G514" i="2"/>
  <c r="K513" i="2"/>
  <c r="J513" i="2"/>
  <c r="I513" i="2"/>
  <c r="H513" i="2"/>
  <c r="G513" i="2"/>
  <c r="K512" i="2"/>
  <c r="J512" i="2"/>
  <c r="I512" i="2"/>
  <c r="H512" i="2"/>
  <c r="G512" i="2"/>
  <c r="K511" i="2"/>
  <c r="J511" i="2"/>
  <c r="I511" i="2"/>
  <c r="H511" i="2"/>
  <c r="G511" i="2"/>
  <c r="K510" i="2"/>
  <c r="J510" i="2"/>
  <c r="I510" i="2"/>
  <c r="H510" i="2"/>
  <c r="G510" i="2"/>
  <c r="K509" i="2"/>
  <c r="J509" i="2"/>
  <c r="I509" i="2"/>
  <c r="H509" i="2"/>
  <c r="G509" i="2"/>
  <c r="K508" i="2"/>
  <c r="J508" i="2"/>
  <c r="I508" i="2"/>
  <c r="H508" i="2"/>
  <c r="G508" i="2"/>
  <c r="K507" i="2"/>
  <c r="J507" i="2"/>
  <c r="I507" i="2"/>
  <c r="H507" i="2"/>
  <c r="G507" i="2"/>
  <c r="K506" i="2"/>
  <c r="J506" i="2"/>
  <c r="I506" i="2"/>
  <c r="H506" i="2"/>
  <c r="G506" i="2"/>
  <c r="K505" i="2"/>
  <c r="J505" i="2"/>
  <c r="I505" i="2"/>
  <c r="H505" i="2"/>
  <c r="G505" i="2"/>
  <c r="K504" i="2"/>
  <c r="J504" i="2"/>
  <c r="I504" i="2"/>
  <c r="H504" i="2"/>
  <c r="G504" i="2"/>
  <c r="K503" i="2"/>
  <c r="J503" i="2"/>
  <c r="I503" i="2"/>
  <c r="H503" i="2"/>
  <c r="G503" i="2"/>
  <c r="K502" i="2"/>
  <c r="J502" i="2"/>
  <c r="I502" i="2"/>
  <c r="H502" i="2"/>
  <c r="G502" i="2"/>
  <c r="K501" i="2"/>
  <c r="J501" i="2"/>
  <c r="I501" i="2"/>
  <c r="H501" i="2"/>
  <c r="G501" i="2"/>
  <c r="K500" i="2"/>
  <c r="J500" i="2"/>
  <c r="I500" i="2"/>
  <c r="H500" i="2"/>
  <c r="G500" i="2"/>
  <c r="K499" i="2"/>
  <c r="J499" i="2"/>
  <c r="I499" i="2"/>
  <c r="H499" i="2"/>
  <c r="G499" i="2"/>
  <c r="L499" i="2" s="1"/>
  <c r="K498" i="2"/>
  <c r="J498" i="2"/>
  <c r="I498" i="2"/>
  <c r="H498" i="2"/>
  <c r="G498" i="2"/>
  <c r="K497" i="2"/>
  <c r="J497" i="2"/>
  <c r="I497" i="2"/>
  <c r="H497" i="2"/>
  <c r="G497" i="2"/>
  <c r="K496" i="2"/>
  <c r="J496" i="2"/>
  <c r="I496" i="2"/>
  <c r="H496" i="2"/>
  <c r="G496" i="2"/>
  <c r="K495" i="2"/>
  <c r="J495" i="2"/>
  <c r="I495" i="2"/>
  <c r="H495" i="2"/>
  <c r="G495" i="2"/>
  <c r="K494" i="2"/>
  <c r="J494" i="2"/>
  <c r="I494" i="2"/>
  <c r="H494" i="2"/>
  <c r="G494" i="2"/>
  <c r="K493" i="2"/>
  <c r="J493" i="2"/>
  <c r="I493" i="2"/>
  <c r="H493" i="2"/>
  <c r="G493" i="2"/>
  <c r="K492" i="2"/>
  <c r="J492" i="2"/>
  <c r="I492" i="2"/>
  <c r="H492" i="2"/>
  <c r="G492" i="2"/>
  <c r="K491" i="2"/>
  <c r="J491" i="2"/>
  <c r="I491" i="2"/>
  <c r="H491" i="2"/>
  <c r="G491" i="2"/>
  <c r="L491" i="2" s="1"/>
  <c r="K490" i="2"/>
  <c r="J490" i="2"/>
  <c r="I490" i="2"/>
  <c r="H490" i="2"/>
  <c r="G490" i="2"/>
  <c r="K489" i="2"/>
  <c r="J489" i="2"/>
  <c r="I489" i="2"/>
  <c r="H489" i="2"/>
  <c r="G489" i="2"/>
  <c r="K488" i="2"/>
  <c r="J488" i="2"/>
  <c r="I488" i="2"/>
  <c r="H488" i="2"/>
  <c r="G488" i="2"/>
  <c r="K487" i="2"/>
  <c r="J487" i="2"/>
  <c r="I487" i="2"/>
  <c r="H487" i="2"/>
  <c r="G487" i="2"/>
  <c r="K486" i="2"/>
  <c r="J486" i="2"/>
  <c r="I486" i="2"/>
  <c r="H486" i="2"/>
  <c r="G486" i="2"/>
  <c r="K485" i="2"/>
  <c r="J485" i="2"/>
  <c r="I485" i="2"/>
  <c r="H485" i="2"/>
  <c r="G485" i="2"/>
  <c r="K484" i="2"/>
  <c r="J484" i="2"/>
  <c r="I484" i="2"/>
  <c r="H484" i="2"/>
  <c r="G484" i="2"/>
  <c r="K483" i="2"/>
  <c r="J483" i="2"/>
  <c r="I483" i="2"/>
  <c r="H483" i="2"/>
  <c r="G483" i="2"/>
  <c r="L483" i="2" s="1"/>
  <c r="K482" i="2"/>
  <c r="J482" i="2"/>
  <c r="I482" i="2"/>
  <c r="H482" i="2"/>
  <c r="G482" i="2"/>
  <c r="K481" i="2"/>
  <c r="J481" i="2"/>
  <c r="I481" i="2"/>
  <c r="H481" i="2"/>
  <c r="G481" i="2"/>
  <c r="K480" i="2"/>
  <c r="J480" i="2"/>
  <c r="I480" i="2"/>
  <c r="H480" i="2"/>
  <c r="G480" i="2"/>
  <c r="K479" i="2"/>
  <c r="J479" i="2"/>
  <c r="I479" i="2"/>
  <c r="H479" i="2"/>
  <c r="G479" i="2"/>
  <c r="K478" i="2"/>
  <c r="J478" i="2"/>
  <c r="I478" i="2"/>
  <c r="H478" i="2"/>
  <c r="G478" i="2"/>
  <c r="K477" i="2"/>
  <c r="J477" i="2"/>
  <c r="I477" i="2"/>
  <c r="H477" i="2"/>
  <c r="G477" i="2"/>
  <c r="K476" i="2"/>
  <c r="J476" i="2"/>
  <c r="I476" i="2"/>
  <c r="H476" i="2"/>
  <c r="G476" i="2"/>
  <c r="K475" i="2"/>
  <c r="J475" i="2"/>
  <c r="I475" i="2"/>
  <c r="H475" i="2"/>
  <c r="G475" i="2"/>
  <c r="K474" i="2"/>
  <c r="J474" i="2"/>
  <c r="I474" i="2"/>
  <c r="H474" i="2"/>
  <c r="G474" i="2"/>
  <c r="K473" i="2"/>
  <c r="J473" i="2"/>
  <c r="I473" i="2"/>
  <c r="H473" i="2"/>
  <c r="G473" i="2"/>
  <c r="K472" i="2"/>
  <c r="J472" i="2"/>
  <c r="I472" i="2"/>
  <c r="H472" i="2"/>
  <c r="G472" i="2"/>
  <c r="K471" i="2"/>
  <c r="J471" i="2"/>
  <c r="I471" i="2"/>
  <c r="H471" i="2"/>
  <c r="G471" i="2"/>
  <c r="K470" i="2"/>
  <c r="J470" i="2"/>
  <c r="I470" i="2"/>
  <c r="H470" i="2"/>
  <c r="G470" i="2"/>
  <c r="K469" i="2"/>
  <c r="J469" i="2"/>
  <c r="I469" i="2"/>
  <c r="H469" i="2"/>
  <c r="G469" i="2"/>
  <c r="K468" i="2"/>
  <c r="J468" i="2"/>
  <c r="I468" i="2"/>
  <c r="H468" i="2"/>
  <c r="G468" i="2"/>
  <c r="K467" i="2"/>
  <c r="J467" i="2"/>
  <c r="I467" i="2"/>
  <c r="H467" i="2"/>
  <c r="G467" i="2"/>
  <c r="L467" i="2" s="1"/>
  <c r="K466" i="2"/>
  <c r="J466" i="2"/>
  <c r="I466" i="2"/>
  <c r="H466" i="2"/>
  <c r="G466" i="2"/>
  <c r="K465" i="2"/>
  <c r="J465" i="2"/>
  <c r="I465" i="2"/>
  <c r="H465" i="2"/>
  <c r="G465" i="2"/>
  <c r="K464" i="2"/>
  <c r="J464" i="2"/>
  <c r="I464" i="2"/>
  <c r="H464" i="2"/>
  <c r="G464" i="2"/>
  <c r="K463" i="2"/>
  <c r="J463" i="2"/>
  <c r="I463" i="2"/>
  <c r="H463" i="2"/>
  <c r="G463" i="2"/>
  <c r="K462" i="2"/>
  <c r="J462" i="2"/>
  <c r="I462" i="2"/>
  <c r="H462" i="2"/>
  <c r="G462" i="2"/>
  <c r="K461" i="2"/>
  <c r="J461" i="2"/>
  <c r="I461" i="2"/>
  <c r="H461" i="2"/>
  <c r="G461" i="2"/>
  <c r="K460" i="2"/>
  <c r="J460" i="2"/>
  <c r="I460" i="2"/>
  <c r="H460" i="2"/>
  <c r="G460" i="2"/>
  <c r="K459" i="2"/>
  <c r="J459" i="2"/>
  <c r="I459" i="2"/>
  <c r="H459" i="2"/>
  <c r="G459" i="2"/>
  <c r="L459" i="2" s="1"/>
  <c r="K458" i="2"/>
  <c r="J458" i="2"/>
  <c r="I458" i="2"/>
  <c r="L458" i="2" s="1"/>
  <c r="H458" i="2"/>
  <c r="G458" i="2"/>
  <c r="K457" i="2"/>
  <c r="J457" i="2"/>
  <c r="I457" i="2"/>
  <c r="H457" i="2"/>
  <c r="G457" i="2"/>
  <c r="K456" i="2"/>
  <c r="J456" i="2"/>
  <c r="I456" i="2"/>
  <c r="H456" i="2"/>
  <c r="G456" i="2"/>
  <c r="K455" i="2"/>
  <c r="J455" i="2"/>
  <c r="I455" i="2"/>
  <c r="H455" i="2"/>
  <c r="G455" i="2"/>
  <c r="K454" i="2"/>
  <c r="J454" i="2"/>
  <c r="I454" i="2"/>
  <c r="H454" i="2"/>
  <c r="G454" i="2"/>
  <c r="K453" i="2"/>
  <c r="J453" i="2"/>
  <c r="I453" i="2"/>
  <c r="H453" i="2"/>
  <c r="G453" i="2"/>
  <c r="K452" i="2"/>
  <c r="J452" i="2"/>
  <c r="I452" i="2"/>
  <c r="H452" i="2"/>
  <c r="G452" i="2"/>
  <c r="K451" i="2"/>
  <c r="J451" i="2"/>
  <c r="I451" i="2"/>
  <c r="H451" i="2"/>
  <c r="G451" i="2"/>
  <c r="L451" i="2" s="1"/>
  <c r="K450" i="2"/>
  <c r="J450" i="2"/>
  <c r="I450" i="2"/>
  <c r="H450" i="2"/>
  <c r="G450" i="2"/>
  <c r="K449" i="2"/>
  <c r="J449" i="2"/>
  <c r="I449" i="2"/>
  <c r="H449" i="2"/>
  <c r="G449" i="2"/>
  <c r="K448" i="2"/>
  <c r="J448" i="2"/>
  <c r="I448" i="2"/>
  <c r="H448" i="2"/>
  <c r="G448" i="2"/>
  <c r="K447" i="2"/>
  <c r="J447" i="2"/>
  <c r="I447" i="2"/>
  <c r="H447" i="2"/>
  <c r="G447" i="2"/>
  <c r="K446" i="2"/>
  <c r="J446" i="2"/>
  <c r="I446" i="2"/>
  <c r="H446" i="2"/>
  <c r="G446" i="2"/>
  <c r="K445" i="2"/>
  <c r="J445" i="2"/>
  <c r="I445" i="2"/>
  <c r="H445" i="2"/>
  <c r="G445" i="2"/>
  <c r="K444" i="2"/>
  <c r="J444" i="2"/>
  <c r="I444" i="2"/>
  <c r="H444" i="2"/>
  <c r="G444" i="2"/>
  <c r="K443" i="2"/>
  <c r="J443" i="2"/>
  <c r="I443" i="2"/>
  <c r="H443" i="2"/>
  <c r="G443" i="2"/>
  <c r="L443" i="2" s="1"/>
  <c r="K442" i="2"/>
  <c r="J442" i="2"/>
  <c r="I442" i="2"/>
  <c r="H442" i="2"/>
  <c r="G442" i="2"/>
  <c r="K441" i="2"/>
  <c r="J441" i="2"/>
  <c r="I441" i="2"/>
  <c r="H441" i="2"/>
  <c r="G441" i="2"/>
  <c r="K440" i="2"/>
  <c r="J440" i="2"/>
  <c r="I440" i="2"/>
  <c r="H440" i="2"/>
  <c r="G440" i="2"/>
  <c r="K439" i="2"/>
  <c r="J439" i="2"/>
  <c r="I439" i="2"/>
  <c r="H439" i="2"/>
  <c r="G439" i="2"/>
  <c r="K438" i="2"/>
  <c r="J438" i="2"/>
  <c r="I438" i="2"/>
  <c r="H438" i="2"/>
  <c r="G438" i="2"/>
  <c r="K437" i="2"/>
  <c r="J437" i="2"/>
  <c r="I437" i="2"/>
  <c r="H437" i="2"/>
  <c r="G437" i="2"/>
  <c r="K436" i="2"/>
  <c r="J436" i="2"/>
  <c r="I436" i="2"/>
  <c r="H436" i="2"/>
  <c r="G436" i="2"/>
  <c r="K435" i="2"/>
  <c r="J435" i="2"/>
  <c r="I435" i="2"/>
  <c r="H435" i="2"/>
  <c r="G435" i="2"/>
  <c r="K434" i="2"/>
  <c r="J434" i="2"/>
  <c r="I434" i="2"/>
  <c r="L434" i="2" s="1"/>
  <c r="H434" i="2"/>
  <c r="G434" i="2"/>
  <c r="K433" i="2"/>
  <c r="J433" i="2"/>
  <c r="I433" i="2"/>
  <c r="H433" i="2"/>
  <c r="G433" i="2"/>
  <c r="K432" i="2"/>
  <c r="J432" i="2"/>
  <c r="I432" i="2"/>
  <c r="H432" i="2"/>
  <c r="G432" i="2"/>
  <c r="K431" i="2"/>
  <c r="J431" i="2"/>
  <c r="I431" i="2"/>
  <c r="H431" i="2"/>
  <c r="G431" i="2"/>
  <c r="K430" i="2"/>
  <c r="J430" i="2"/>
  <c r="I430" i="2"/>
  <c r="H430" i="2"/>
  <c r="G430" i="2"/>
  <c r="K429" i="2"/>
  <c r="J429" i="2"/>
  <c r="I429" i="2"/>
  <c r="H429" i="2"/>
  <c r="G429" i="2"/>
  <c r="K428" i="2"/>
  <c r="J428" i="2"/>
  <c r="I428" i="2"/>
  <c r="H428" i="2"/>
  <c r="G428" i="2"/>
  <c r="K427" i="2"/>
  <c r="J427" i="2"/>
  <c r="I427" i="2"/>
  <c r="H427" i="2"/>
  <c r="G427" i="2"/>
  <c r="K426" i="2"/>
  <c r="J426" i="2"/>
  <c r="I426" i="2"/>
  <c r="H426" i="2"/>
  <c r="G426" i="2"/>
  <c r="K425" i="2"/>
  <c r="J425" i="2"/>
  <c r="I425" i="2"/>
  <c r="H425" i="2"/>
  <c r="G425" i="2"/>
  <c r="K424" i="2"/>
  <c r="J424" i="2"/>
  <c r="I424" i="2"/>
  <c r="H424" i="2"/>
  <c r="G424" i="2"/>
  <c r="K423" i="2"/>
  <c r="J423" i="2"/>
  <c r="I423" i="2"/>
  <c r="H423" i="2"/>
  <c r="G423" i="2"/>
  <c r="K422" i="2"/>
  <c r="J422" i="2"/>
  <c r="I422" i="2"/>
  <c r="H422" i="2"/>
  <c r="G422" i="2"/>
  <c r="K421" i="2"/>
  <c r="J421" i="2"/>
  <c r="I421" i="2"/>
  <c r="H421" i="2"/>
  <c r="G421" i="2"/>
  <c r="K420" i="2"/>
  <c r="J420" i="2"/>
  <c r="I420" i="2"/>
  <c r="H420" i="2"/>
  <c r="G420" i="2"/>
  <c r="K419" i="2"/>
  <c r="J419" i="2"/>
  <c r="I419" i="2"/>
  <c r="H419" i="2"/>
  <c r="G419" i="2"/>
  <c r="K418" i="2"/>
  <c r="J418" i="2"/>
  <c r="I418" i="2"/>
  <c r="H418" i="2"/>
  <c r="G418" i="2"/>
  <c r="K417" i="2"/>
  <c r="J417" i="2"/>
  <c r="I417" i="2"/>
  <c r="H417" i="2"/>
  <c r="G417" i="2"/>
  <c r="K416" i="2"/>
  <c r="J416" i="2"/>
  <c r="I416" i="2"/>
  <c r="H416" i="2"/>
  <c r="G416" i="2"/>
  <c r="K415" i="2"/>
  <c r="J415" i="2"/>
  <c r="I415" i="2"/>
  <c r="H415" i="2"/>
  <c r="G415" i="2"/>
  <c r="K414" i="2"/>
  <c r="J414" i="2"/>
  <c r="I414" i="2"/>
  <c r="H414" i="2"/>
  <c r="G414" i="2"/>
  <c r="K413" i="2"/>
  <c r="J413" i="2"/>
  <c r="I413" i="2"/>
  <c r="H413" i="2"/>
  <c r="G413" i="2"/>
  <c r="K412" i="2"/>
  <c r="J412" i="2"/>
  <c r="I412" i="2"/>
  <c r="H412" i="2"/>
  <c r="G412" i="2"/>
  <c r="K411" i="2"/>
  <c r="J411" i="2"/>
  <c r="I411" i="2"/>
  <c r="H411" i="2"/>
  <c r="G411" i="2"/>
  <c r="K410" i="2"/>
  <c r="J410" i="2"/>
  <c r="I410" i="2"/>
  <c r="H410" i="2"/>
  <c r="G410" i="2"/>
  <c r="K409" i="2"/>
  <c r="J409" i="2"/>
  <c r="I409" i="2"/>
  <c r="H409" i="2"/>
  <c r="G409" i="2"/>
  <c r="K408" i="2"/>
  <c r="J408" i="2"/>
  <c r="I408" i="2"/>
  <c r="H408" i="2"/>
  <c r="G408" i="2"/>
  <c r="K407" i="2"/>
  <c r="J407" i="2"/>
  <c r="I407" i="2"/>
  <c r="H407" i="2"/>
  <c r="G407" i="2"/>
  <c r="K406" i="2"/>
  <c r="J406" i="2"/>
  <c r="I406" i="2"/>
  <c r="H406" i="2"/>
  <c r="G406" i="2"/>
  <c r="K405" i="2"/>
  <c r="J405" i="2"/>
  <c r="I405" i="2"/>
  <c r="H405" i="2"/>
  <c r="G405" i="2"/>
  <c r="K404" i="2"/>
  <c r="J404" i="2"/>
  <c r="I404" i="2"/>
  <c r="H404" i="2"/>
  <c r="G404" i="2"/>
  <c r="K403" i="2"/>
  <c r="J403" i="2"/>
  <c r="I403" i="2"/>
  <c r="H403" i="2"/>
  <c r="G403" i="2"/>
  <c r="K402" i="2"/>
  <c r="J402" i="2"/>
  <c r="I402" i="2"/>
  <c r="H402" i="2"/>
  <c r="G402" i="2"/>
  <c r="K401" i="2"/>
  <c r="J401" i="2"/>
  <c r="I401" i="2"/>
  <c r="H401" i="2"/>
  <c r="G401" i="2"/>
  <c r="K400" i="2"/>
  <c r="J400" i="2"/>
  <c r="I400" i="2"/>
  <c r="H400" i="2"/>
  <c r="G400" i="2"/>
  <c r="K399" i="2"/>
  <c r="J399" i="2"/>
  <c r="I399" i="2"/>
  <c r="H399" i="2"/>
  <c r="G399" i="2"/>
  <c r="K398" i="2"/>
  <c r="J398" i="2"/>
  <c r="I398" i="2"/>
  <c r="H398" i="2"/>
  <c r="G398" i="2"/>
  <c r="K397" i="2"/>
  <c r="J397" i="2"/>
  <c r="I397" i="2"/>
  <c r="H397" i="2"/>
  <c r="G397" i="2"/>
  <c r="K396" i="2"/>
  <c r="J396" i="2"/>
  <c r="I396" i="2"/>
  <c r="H396" i="2"/>
  <c r="G396" i="2"/>
  <c r="K395" i="2"/>
  <c r="J395" i="2"/>
  <c r="I395" i="2"/>
  <c r="H395" i="2"/>
  <c r="G395" i="2"/>
  <c r="K394" i="2"/>
  <c r="J394" i="2"/>
  <c r="I394" i="2"/>
  <c r="H394" i="2"/>
  <c r="G394" i="2"/>
  <c r="K393" i="2"/>
  <c r="J393" i="2"/>
  <c r="I393" i="2"/>
  <c r="H393" i="2"/>
  <c r="G393" i="2"/>
  <c r="K392" i="2"/>
  <c r="J392" i="2"/>
  <c r="I392" i="2"/>
  <c r="H392" i="2"/>
  <c r="G392" i="2"/>
  <c r="K391" i="2"/>
  <c r="J391" i="2"/>
  <c r="I391" i="2"/>
  <c r="H391" i="2"/>
  <c r="G391" i="2"/>
  <c r="K390" i="2"/>
  <c r="J390" i="2"/>
  <c r="I390" i="2"/>
  <c r="H390" i="2"/>
  <c r="G390" i="2"/>
  <c r="K389" i="2"/>
  <c r="J389" i="2"/>
  <c r="I389" i="2"/>
  <c r="H389" i="2"/>
  <c r="G389" i="2"/>
  <c r="K388" i="2"/>
  <c r="J388" i="2"/>
  <c r="I388" i="2"/>
  <c r="H388" i="2"/>
  <c r="G388" i="2"/>
  <c r="K387" i="2"/>
  <c r="J387" i="2"/>
  <c r="I387" i="2"/>
  <c r="H387" i="2"/>
  <c r="G387" i="2"/>
  <c r="K386" i="2"/>
  <c r="J386" i="2"/>
  <c r="I386" i="2"/>
  <c r="H386" i="2"/>
  <c r="G386" i="2"/>
  <c r="K385" i="2"/>
  <c r="J385" i="2"/>
  <c r="I385" i="2"/>
  <c r="H385" i="2"/>
  <c r="G385" i="2"/>
  <c r="K384" i="2"/>
  <c r="J384" i="2"/>
  <c r="I384" i="2"/>
  <c r="H384" i="2"/>
  <c r="G384" i="2"/>
  <c r="K383" i="2"/>
  <c r="J383" i="2"/>
  <c r="I383" i="2"/>
  <c r="H383" i="2"/>
  <c r="G383" i="2"/>
  <c r="K382" i="2"/>
  <c r="J382" i="2"/>
  <c r="I382" i="2"/>
  <c r="H382" i="2"/>
  <c r="G382" i="2"/>
  <c r="K381" i="2"/>
  <c r="J381" i="2"/>
  <c r="I381" i="2"/>
  <c r="H381" i="2"/>
  <c r="G381" i="2"/>
  <c r="K380" i="2"/>
  <c r="J380" i="2"/>
  <c r="I380" i="2"/>
  <c r="H380" i="2"/>
  <c r="G380" i="2"/>
  <c r="K379" i="2"/>
  <c r="J379" i="2"/>
  <c r="I379" i="2"/>
  <c r="H379" i="2"/>
  <c r="G379" i="2"/>
  <c r="K378" i="2"/>
  <c r="J378" i="2"/>
  <c r="I378" i="2"/>
  <c r="H378" i="2"/>
  <c r="G378" i="2"/>
  <c r="K377" i="2"/>
  <c r="J377" i="2"/>
  <c r="I377" i="2"/>
  <c r="H377" i="2"/>
  <c r="G377" i="2"/>
  <c r="K376" i="2"/>
  <c r="J376" i="2"/>
  <c r="I376" i="2"/>
  <c r="H376" i="2"/>
  <c r="G376" i="2"/>
  <c r="K375" i="2"/>
  <c r="J375" i="2"/>
  <c r="I375" i="2"/>
  <c r="H375" i="2"/>
  <c r="G375" i="2"/>
  <c r="K374" i="2"/>
  <c r="J374" i="2"/>
  <c r="I374" i="2"/>
  <c r="H374" i="2"/>
  <c r="G374" i="2"/>
  <c r="K373" i="2"/>
  <c r="J373" i="2"/>
  <c r="I373" i="2"/>
  <c r="H373" i="2"/>
  <c r="G373" i="2"/>
  <c r="K372" i="2"/>
  <c r="J372" i="2"/>
  <c r="I372" i="2"/>
  <c r="H372" i="2"/>
  <c r="G372" i="2"/>
  <c r="K371" i="2"/>
  <c r="J371" i="2"/>
  <c r="I371" i="2"/>
  <c r="H371" i="2"/>
  <c r="G371" i="2"/>
  <c r="L371" i="2" s="1"/>
  <c r="K370" i="2"/>
  <c r="J370" i="2"/>
  <c r="I370" i="2"/>
  <c r="H370" i="2"/>
  <c r="G370" i="2"/>
  <c r="K369" i="2"/>
  <c r="J369" i="2"/>
  <c r="I369" i="2"/>
  <c r="H369" i="2"/>
  <c r="G369" i="2"/>
  <c r="K368" i="2"/>
  <c r="J368" i="2"/>
  <c r="I368" i="2"/>
  <c r="H368" i="2"/>
  <c r="G368" i="2"/>
  <c r="K367" i="2"/>
  <c r="J367" i="2"/>
  <c r="I367" i="2"/>
  <c r="H367" i="2"/>
  <c r="G367" i="2"/>
  <c r="K366" i="2"/>
  <c r="J366" i="2"/>
  <c r="I366" i="2"/>
  <c r="H366" i="2"/>
  <c r="G366" i="2"/>
  <c r="K365" i="2"/>
  <c r="J365" i="2"/>
  <c r="I365" i="2"/>
  <c r="H365" i="2"/>
  <c r="G365" i="2"/>
  <c r="K364" i="2"/>
  <c r="J364" i="2"/>
  <c r="I364" i="2"/>
  <c r="H364" i="2"/>
  <c r="G364" i="2"/>
  <c r="K363" i="2"/>
  <c r="J363" i="2"/>
  <c r="I363" i="2"/>
  <c r="H363" i="2"/>
  <c r="G363" i="2"/>
  <c r="K362" i="2"/>
  <c r="J362" i="2"/>
  <c r="I362" i="2"/>
  <c r="L362" i="2" s="1"/>
  <c r="H362" i="2"/>
  <c r="G362" i="2"/>
  <c r="K361" i="2"/>
  <c r="J361" i="2"/>
  <c r="I361" i="2"/>
  <c r="H361" i="2"/>
  <c r="G361" i="2"/>
  <c r="K360" i="2"/>
  <c r="J360" i="2"/>
  <c r="I360" i="2"/>
  <c r="H360" i="2"/>
  <c r="G360" i="2"/>
  <c r="K359" i="2"/>
  <c r="J359" i="2"/>
  <c r="I359" i="2"/>
  <c r="H359" i="2"/>
  <c r="G359" i="2"/>
  <c r="K358" i="2"/>
  <c r="J358" i="2"/>
  <c r="I358" i="2"/>
  <c r="H358" i="2"/>
  <c r="G358" i="2"/>
  <c r="K357" i="2"/>
  <c r="J357" i="2"/>
  <c r="I357" i="2"/>
  <c r="H357" i="2"/>
  <c r="G357" i="2"/>
  <c r="K356" i="2"/>
  <c r="J356" i="2"/>
  <c r="I356" i="2"/>
  <c r="H356" i="2"/>
  <c r="G356" i="2"/>
  <c r="K355" i="2"/>
  <c r="J355" i="2"/>
  <c r="I355" i="2"/>
  <c r="H355" i="2"/>
  <c r="G355" i="2"/>
  <c r="K354" i="2"/>
  <c r="J354" i="2"/>
  <c r="I354" i="2"/>
  <c r="H354" i="2"/>
  <c r="G354" i="2"/>
  <c r="K353" i="2"/>
  <c r="J353" i="2"/>
  <c r="I353" i="2"/>
  <c r="H353" i="2"/>
  <c r="G353" i="2"/>
  <c r="K352" i="2"/>
  <c r="J352" i="2"/>
  <c r="I352" i="2"/>
  <c r="H352" i="2"/>
  <c r="G352" i="2"/>
  <c r="K351" i="2"/>
  <c r="J351" i="2"/>
  <c r="I351" i="2"/>
  <c r="H351" i="2"/>
  <c r="G351" i="2"/>
  <c r="K350" i="2"/>
  <c r="J350" i="2"/>
  <c r="I350" i="2"/>
  <c r="H350" i="2"/>
  <c r="G350" i="2"/>
  <c r="K349" i="2"/>
  <c r="J349" i="2"/>
  <c r="I349" i="2"/>
  <c r="H349" i="2"/>
  <c r="G349" i="2"/>
  <c r="K348" i="2"/>
  <c r="J348" i="2"/>
  <c r="I348" i="2"/>
  <c r="H348" i="2"/>
  <c r="G348" i="2"/>
  <c r="K347" i="2"/>
  <c r="J347" i="2"/>
  <c r="I347" i="2"/>
  <c r="H347" i="2"/>
  <c r="G347" i="2"/>
  <c r="K346" i="2"/>
  <c r="J346" i="2"/>
  <c r="I346" i="2"/>
  <c r="H346" i="2"/>
  <c r="G346" i="2"/>
  <c r="K345" i="2"/>
  <c r="J345" i="2"/>
  <c r="I345" i="2"/>
  <c r="H345" i="2"/>
  <c r="G345" i="2"/>
  <c r="K344" i="2"/>
  <c r="J344" i="2"/>
  <c r="I344" i="2"/>
  <c r="H344" i="2"/>
  <c r="G344" i="2"/>
  <c r="K343" i="2"/>
  <c r="J343" i="2"/>
  <c r="I343" i="2"/>
  <c r="H343" i="2"/>
  <c r="G343" i="2"/>
  <c r="K342" i="2"/>
  <c r="J342" i="2"/>
  <c r="I342" i="2"/>
  <c r="H342" i="2"/>
  <c r="G342" i="2"/>
  <c r="K341" i="2"/>
  <c r="J341" i="2"/>
  <c r="I341" i="2"/>
  <c r="H341" i="2"/>
  <c r="G341" i="2"/>
  <c r="K340" i="2"/>
  <c r="J340" i="2"/>
  <c r="I340" i="2"/>
  <c r="H340" i="2"/>
  <c r="G340" i="2"/>
  <c r="K339" i="2"/>
  <c r="J339" i="2"/>
  <c r="I339" i="2"/>
  <c r="H339" i="2"/>
  <c r="G339" i="2"/>
  <c r="K338" i="2"/>
  <c r="J338" i="2"/>
  <c r="I338" i="2"/>
  <c r="H338" i="2"/>
  <c r="G338" i="2"/>
  <c r="K337" i="2"/>
  <c r="J337" i="2"/>
  <c r="I337" i="2"/>
  <c r="H337" i="2"/>
  <c r="G337" i="2"/>
  <c r="K336" i="2"/>
  <c r="J336" i="2"/>
  <c r="I336" i="2"/>
  <c r="H336" i="2"/>
  <c r="G336" i="2"/>
  <c r="K335" i="2"/>
  <c r="J335" i="2"/>
  <c r="I335" i="2"/>
  <c r="H335" i="2"/>
  <c r="G335" i="2"/>
  <c r="K334" i="2"/>
  <c r="J334" i="2"/>
  <c r="I334" i="2"/>
  <c r="H334" i="2"/>
  <c r="G334" i="2"/>
  <c r="K333" i="2"/>
  <c r="J333" i="2"/>
  <c r="I333" i="2"/>
  <c r="H333" i="2"/>
  <c r="G333" i="2"/>
  <c r="K332" i="2"/>
  <c r="J332" i="2"/>
  <c r="I332" i="2"/>
  <c r="H332" i="2"/>
  <c r="G332" i="2"/>
  <c r="K331" i="2"/>
  <c r="J331" i="2"/>
  <c r="I331" i="2"/>
  <c r="H331" i="2"/>
  <c r="G331" i="2"/>
  <c r="K330" i="2"/>
  <c r="J330" i="2"/>
  <c r="I330" i="2"/>
  <c r="H330" i="2"/>
  <c r="G330" i="2"/>
  <c r="K329" i="2"/>
  <c r="J329" i="2"/>
  <c r="I329" i="2"/>
  <c r="H329" i="2"/>
  <c r="G329" i="2"/>
  <c r="K328" i="2"/>
  <c r="J328" i="2"/>
  <c r="I328" i="2"/>
  <c r="H328" i="2"/>
  <c r="G328" i="2"/>
  <c r="K327" i="2"/>
  <c r="J327" i="2"/>
  <c r="I327" i="2"/>
  <c r="H327" i="2"/>
  <c r="G327" i="2"/>
  <c r="K326" i="2"/>
  <c r="J326" i="2"/>
  <c r="I326" i="2"/>
  <c r="H326" i="2"/>
  <c r="G326" i="2"/>
  <c r="K325" i="2"/>
  <c r="J325" i="2"/>
  <c r="I325" i="2"/>
  <c r="H325" i="2"/>
  <c r="G325" i="2"/>
  <c r="K324" i="2"/>
  <c r="J324" i="2"/>
  <c r="I324" i="2"/>
  <c r="H324" i="2"/>
  <c r="G324" i="2"/>
  <c r="K323" i="2"/>
  <c r="J323" i="2"/>
  <c r="I323" i="2"/>
  <c r="H323" i="2"/>
  <c r="G323" i="2"/>
  <c r="K322" i="2"/>
  <c r="J322" i="2"/>
  <c r="I322" i="2"/>
  <c r="H322" i="2"/>
  <c r="G322" i="2"/>
  <c r="K321" i="2"/>
  <c r="J321" i="2"/>
  <c r="I321" i="2"/>
  <c r="H321" i="2"/>
  <c r="G321" i="2"/>
  <c r="K320" i="2"/>
  <c r="J320" i="2"/>
  <c r="I320" i="2"/>
  <c r="H320" i="2"/>
  <c r="G320" i="2"/>
  <c r="K319" i="2"/>
  <c r="J319" i="2"/>
  <c r="I319" i="2"/>
  <c r="H319" i="2"/>
  <c r="G319" i="2"/>
  <c r="K318" i="2"/>
  <c r="J318" i="2"/>
  <c r="I318" i="2"/>
  <c r="H318" i="2"/>
  <c r="G318" i="2"/>
  <c r="K317" i="2"/>
  <c r="J317" i="2"/>
  <c r="I317" i="2"/>
  <c r="H317" i="2"/>
  <c r="G317" i="2"/>
  <c r="K316" i="2"/>
  <c r="J316" i="2"/>
  <c r="I316" i="2"/>
  <c r="H316" i="2"/>
  <c r="G316" i="2"/>
  <c r="K315" i="2"/>
  <c r="J315" i="2"/>
  <c r="I315" i="2"/>
  <c r="H315" i="2"/>
  <c r="G315" i="2"/>
  <c r="K314" i="2"/>
  <c r="J314" i="2"/>
  <c r="I314" i="2"/>
  <c r="H314" i="2"/>
  <c r="G314" i="2"/>
  <c r="K313" i="2"/>
  <c r="J313" i="2"/>
  <c r="I313" i="2"/>
  <c r="H313" i="2"/>
  <c r="G313" i="2"/>
  <c r="K312" i="2"/>
  <c r="J312" i="2"/>
  <c r="I312" i="2"/>
  <c r="H312" i="2"/>
  <c r="G312" i="2"/>
  <c r="K311" i="2"/>
  <c r="J311" i="2"/>
  <c r="I311" i="2"/>
  <c r="H311" i="2"/>
  <c r="G311" i="2"/>
  <c r="K310" i="2"/>
  <c r="J310" i="2"/>
  <c r="I310" i="2"/>
  <c r="H310" i="2"/>
  <c r="G310" i="2"/>
  <c r="K309" i="2"/>
  <c r="J309" i="2"/>
  <c r="I309" i="2"/>
  <c r="H309" i="2"/>
  <c r="G309" i="2"/>
  <c r="K308" i="2"/>
  <c r="J308" i="2"/>
  <c r="I308" i="2"/>
  <c r="H308" i="2"/>
  <c r="G308" i="2"/>
  <c r="K307" i="2"/>
  <c r="J307" i="2"/>
  <c r="I307" i="2"/>
  <c r="H307" i="2"/>
  <c r="G307" i="2"/>
  <c r="K306" i="2"/>
  <c r="J306" i="2"/>
  <c r="I306" i="2"/>
  <c r="H306" i="2"/>
  <c r="G306" i="2"/>
  <c r="K305" i="2"/>
  <c r="J305" i="2"/>
  <c r="I305" i="2"/>
  <c r="H305" i="2"/>
  <c r="G305" i="2"/>
  <c r="K304" i="2"/>
  <c r="J304" i="2"/>
  <c r="I304" i="2"/>
  <c r="H304" i="2"/>
  <c r="G304" i="2"/>
  <c r="K303" i="2"/>
  <c r="J303" i="2"/>
  <c r="I303" i="2"/>
  <c r="H303" i="2"/>
  <c r="G303" i="2"/>
  <c r="K302" i="2"/>
  <c r="J302" i="2"/>
  <c r="I302" i="2"/>
  <c r="H302" i="2"/>
  <c r="G302" i="2"/>
  <c r="K301" i="2"/>
  <c r="J301" i="2"/>
  <c r="I301" i="2"/>
  <c r="H301" i="2"/>
  <c r="G301" i="2"/>
  <c r="K300" i="2"/>
  <c r="J300" i="2"/>
  <c r="I300" i="2"/>
  <c r="H300" i="2"/>
  <c r="G300" i="2"/>
  <c r="K299" i="2"/>
  <c r="J299" i="2"/>
  <c r="I299" i="2"/>
  <c r="H299" i="2"/>
  <c r="G299" i="2"/>
  <c r="K298" i="2"/>
  <c r="J298" i="2"/>
  <c r="I298" i="2"/>
  <c r="H298" i="2"/>
  <c r="G298" i="2"/>
  <c r="K297" i="2"/>
  <c r="J297" i="2"/>
  <c r="I297" i="2"/>
  <c r="H297" i="2"/>
  <c r="G297" i="2"/>
  <c r="K296" i="2"/>
  <c r="J296" i="2"/>
  <c r="I296" i="2"/>
  <c r="H296" i="2"/>
  <c r="G296" i="2"/>
  <c r="K295" i="2"/>
  <c r="J295" i="2"/>
  <c r="I295" i="2"/>
  <c r="H295" i="2"/>
  <c r="G295" i="2"/>
  <c r="K294" i="2"/>
  <c r="J294" i="2"/>
  <c r="I294" i="2"/>
  <c r="H294" i="2"/>
  <c r="G294" i="2"/>
  <c r="K293" i="2"/>
  <c r="J293" i="2"/>
  <c r="I293" i="2"/>
  <c r="H293" i="2"/>
  <c r="G293" i="2"/>
  <c r="K292" i="2"/>
  <c r="J292" i="2"/>
  <c r="I292" i="2"/>
  <c r="H292" i="2"/>
  <c r="G292" i="2"/>
  <c r="K291" i="2"/>
  <c r="J291" i="2"/>
  <c r="I291" i="2"/>
  <c r="H291" i="2"/>
  <c r="G291" i="2"/>
  <c r="K290" i="2"/>
  <c r="J290" i="2"/>
  <c r="I290" i="2"/>
  <c r="H290" i="2"/>
  <c r="G290" i="2"/>
  <c r="K289" i="2"/>
  <c r="J289" i="2"/>
  <c r="I289" i="2"/>
  <c r="H289" i="2"/>
  <c r="G289" i="2"/>
  <c r="K288" i="2"/>
  <c r="J288" i="2"/>
  <c r="I288" i="2"/>
  <c r="H288" i="2"/>
  <c r="G288" i="2"/>
  <c r="K287" i="2"/>
  <c r="J287" i="2"/>
  <c r="I287" i="2"/>
  <c r="H287" i="2"/>
  <c r="G287" i="2"/>
  <c r="K286" i="2"/>
  <c r="J286" i="2"/>
  <c r="I286" i="2"/>
  <c r="H286" i="2"/>
  <c r="G286" i="2"/>
  <c r="K285" i="2"/>
  <c r="J285" i="2"/>
  <c r="I285" i="2"/>
  <c r="H285" i="2"/>
  <c r="G285" i="2"/>
  <c r="K284" i="2"/>
  <c r="J284" i="2"/>
  <c r="I284" i="2"/>
  <c r="H284" i="2"/>
  <c r="G284" i="2"/>
  <c r="K283" i="2"/>
  <c r="J283" i="2"/>
  <c r="I283" i="2"/>
  <c r="H283" i="2"/>
  <c r="G283" i="2"/>
  <c r="L283" i="2" s="1"/>
  <c r="K282" i="2"/>
  <c r="J282" i="2"/>
  <c r="I282" i="2"/>
  <c r="H282" i="2"/>
  <c r="G282" i="2"/>
  <c r="K281" i="2"/>
  <c r="J281" i="2"/>
  <c r="I281" i="2"/>
  <c r="H281" i="2"/>
  <c r="G281" i="2"/>
  <c r="K280" i="2"/>
  <c r="J280" i="2"/>
  <c r="I280" i="2"/>
  <c r="H280" i="2"/>
  <c r="G280" i="2"/>
  <c r="K279" i="2"/>
  <c r="J279" i="2"/>
  <c r="I279" i="2"/>
  <c r="H279" i="2"/>
  <c r="G279" i="2"/>
  <c r="K278" i="2"/>
  <c r="J278" i="2"/>
  <c r="I278" i="2"/>
  <c r="H278" i="2"/>
  <c r="G278" i="2"/>
  <c r="K277" i="2"/>
  <c r="J277" i="2"/>
  <c r="I277" i="2"/>
  <c r="H277" i="2"/>
  <c r="G277" i="2"/>
  <c r="K276" i="2"/>
  <c r="J276" i="2"/>
  <c r="I276" i="2"/>
  <c r="H276" i="2"/>
  <c r="G276" i="2"/>
  <c r="K275" i="2"/>
  <c r="J275" i="2"/>
  <c r="I275" i="2"/>
  <c r="H275" i="2"/>
  <c r="G275" i="2"/>
  <c r="L275" i="2" s="1"/>
  <c r="K274" i="2"/>
  <c r="J274" i="2"/>
  <c r="I274" i="2"/>
  <c r="H274" i="2"/>
  <c r="G274" i="2"/>
  <c r="K273" i="2"/>
  <c r="J273" i="2"/>
  <c r="I273" i="2"/>
  <c r="H273" i="2"/>
  <c r="G273" i="2"/>
  <c r="K272" i="2"/>
  <c r="J272" i="2"/>
  <c r="I272" i="2"/>
  <c r="H272" i="2"/>
  <c r="G272" i="2"/>
  <c r="K271" i="2"/>
  <c r="J271" i="2"/>
  <c r="I271" i="2"/>
  <c r="H271" i="2"/>
  <c r="G271" i="2"/>
  <c r="K270" i="2"/>
  <c r="J270" i="2"/>
  <c r="I270" i="2"/>
  <c r="H270" i="2"/>
  <c r="G270" i="2"/>
  <c r="K269" i="2"/>
  <c r="J269" i="2"/>
  <c r="I269" i="2"/>
  <c r="H269" i="2"/>
  <c r="G269" i="2"/>
  <c r="K268" i="2"/>
  <c r="J268" i="2"/>
  <c r="I268" i="2"/>
  <c r="H268" i="2"/>
  <c r="G268" i="2"/>
  <c r="K267" i="2"/>
  <c r="J267" i="2"/>
  <c r="I267" i="2"/>
  <c r="H267" i="2"/>
  <c r="G267" i="2"/>
  <c r="L267" i="2" s="1"/>
  <c r="K266" i="2"/>
  <c r="J266" i="2"/>
  <c r="I266" i="2"/>
  <c r="H266" i="2"/>
  <c r="G266" i="2"/>
  <c r="K265" i="2"/>
  <c r="J265" i="2"/>
  <c r="I265" i="2"/>
  <c r="H265" i="2"/>
  <c r="G265" i="2"/>
  <c r="K264" i="2"/>
  <c r="J264" i="2"/>
  <c r="I264" i="2"/>
  <c r="H264" i="2"/>
  <c r="G264" i="2"/>
  <c r="K263" i="2"/>
  <c r="J263" i="2"/>
  <c r="I263" i="2"/>
  <c r="H263" i="2"/>
  <c r="G263" i="2"/>
  <c r="K262" i="2"/>
  <c r="J262" i="2"/>
  <c r="I262" i="2"/>
  <c r="H262" i="2"/>
  <c r="G262" i="2"/>
  <c r="K261" i="2"/>
  <c r="J261" i="2"/>
  <c r="I261" i="2"/>
  <c r="H261" i="2"/>
  <c r="G261" i="2"/>
  <c r="K260" i="2"/>
  <c r="J260" i="2"/>
  <c r="I260" i="2"/>
  <c r="H260" i="2"/>
  <c r="G260" i="2"/>
  <c r="K259" i="2"/>
  <c r="J259" i="2"/>
  <c r="I259" i="2"/>
  <c r="H259" i="2"/>
  <c r="G259" i="2"/>
  <c r="K258" i="2"/>
  <c r="J258" i="2"/>
  <c r="I258" i="2"/>
  <c r="H258" i="2"/>
  <c r="G258" i="2"/>
  <c r="K257" i="2"/>
  <c r="J257" i="2"/>
  <c r="I257" i="2"/>
  <c r="H257" i="2"/>
  <c r="G257" i="2"/>
  <c r="K256" i="2"/>
  <c r="J256" i="2"/>
  <c r="I256" i="2"/>
  <c r="H256" i="2"/>
  <c r="G256" i="2"/>
  <c r="K255" i="2"/>
  <c r="J255" i="2"/>
  <c r="I255" i="2"/>
  <c r="H255" i="2"/>
  <c r="G255" i="2"/>
  <c r="K254" i="2"/>
  <c r="J254" i="2"/>
  <c r="I254" i="2"/>
  <c r="H254" i="2"/>
  <c r="G254" i="2"/>
  <c r="K253" i="2"/>
  <c r="J253" i="2"/>
  <c r="I253" i="2"/>
  <c r="H253" i="2"/>
  <c r="G253" i="2"/>
  <c r="K252" i="2"/>
  <c r="J252" i="2"/>
  <c r="I252" i="2"/>
  <c r="H252" i="2"/>
  <c r="G252" i="2"/>
  <c r="K251" i="2"/>
  <c r="J251" i="2"/>
  <c r="I251" i="2"/>
  <c r="H251" i="2"/>
  <c r="G251" i="2"/>
  <c r="K250" i="2"/>
  <c r="J250" i="2"/>
  <c r="I250" i="2"/>
  <c r="H250" i="2"/>
  <c r="G250" i="2"/>
  <c r="K249" i="2"/>
  <c r="J249" i="2"/>
  <c r="I249" i="2"/>
  <c r="H249" i="2"/>
  <c r="G249" i="2"/>
  <c r="K248" i="2"/>
  <c r="J248" i="2"/>
  <c r="I248" i="2"/>
  <c r="H248" i="2"/>
  <c r="G248" i="2"/>
  <c r="K247" i="2"/>
  <c r="J247" i="2"/>
  <c r="I247" i="2"/>
  <c r="H247" i="2"/>
  <c r="G247" i="2"/>
  <c r="K246" i="2"/>
  <c r="J246" i="2"/>
  <c r="I246" i="2"/>
  <c r="H246" i="2"/>
  <c r="G246" i="2"/>
  <c r="K245" i="2"/>
  <c r="J245" i="2"/>
  <c r="I245" i="2"/>
  <c r="H245" i="2"/>
  <c r="G245" i="2"/>
  <c r="K244" i="2"/>
  <c r="J244" i="2"/>
  <c r="I244" i="2"/>
  <c r="H244" i="2"/>
  <c r="G244" i="2"/>
  <c r="K243" i="2"/>
  <c r="J243" i="2"/>
  <c r="I243" i="2"/>
  <c r="H243" i="2"/>
  <c r="G243" i="2"/>
  <c r="L243" i="2" s="1"/>
  <c r="K242" i="2"/>
  <c r="J242" i="2"/>
  <c r="I242" i="2"/>
  <c r="H242" i="2"/>
  <c r="G242" i="2"/>
  <c r="K241" i="2"/>
  <c r="J241" i="2"/>
  <c r="I241" i="2"/>
  <c r="H241" i="2"/>
  <c r="G241" i="2"/>
  <c r="K240" i="2"/>
  <c r="J240" i="2"/>
  <c r="I240" i="2"/>
  <c r="H240" i="2"/>
  <c r="G240" i="2"/>
  <c r="K239" i="2"/>
  <c r="J239" i="2"/>
  <c r="I239" i="2"/>
  <c r="H239" i="2"/>
  <c r="G239" i="2"/>
  <c r="K238" i="2"/>
  <c r="J238" i="2"/>
  <c r="I238" i="2"/>
  <c r="H238" i="2"/>
  <c r="G238" i="2"/>
  <c r="K237" i="2"/>
  <c r="J237" i="2"/>
  <c r="I237" i="2"/>
  <c r="H237" i="2"/>
  <c r="G237" i="2"/>
  <c r="K236" i="2"/>
  <c r="J236" i="2"/>
  <c r="I236" i="2"/>
  <c r="H236" i="2"/>
  <c r="G236" i="2"/>
  <c r="K235" i="2"/>
  <c r="J235" i="2"/>
  <c r="I235" i="2"/>
  <c r="H235" i="2"/>
  <c r="G235" i="2"/>
  <c r="L235" i="2" s="1"/>
  <c r="K234" i="2"/>
  <c r="J234" i="2"/>
  <c r="I234" i="2"/>
  <c r="H234" i="2"/>
  <c r="G234" i="2"/>
  <c r="K233" i="2"/>
  <c r="J233" i="2"/>
  <c r="I233" i="2"/>
  <c r="H233" i="2"/>
  <c r="G233" i="2"/>
  <c r="K232" i="2"/>
  <c r="J232" i="2"/>
  <c r="I232" i="2"/>
  <c r="H232" i="2"/>
  <c r="G232" i="2"/>
  <c r="K231" i="2"/>
  <c r="J231" i="2"/>
  <c r="I231" i="2"/>
  <c r="H231" i="2"/>
  <c r="G231" i="2"/>
  <c r="K230" i="2"/>
  <c r="J230" i="2"/>
  <c r="I230" i="2"/>
  <c r="H230" i="2"/>
  <c r="G230" i="2"/>
  <c r="K229" i="2"/>
  <c r="J229" i="2"/>
  <c r="I229" i="2"/>
  <c r="H229" i="2"/>
  <c r="G229" i="2"/>
  <c r="K228" i="2"/>
  <c r="J228" i="2"/>
  <c r="I228" i="2"/>
  <c r="H228" i="2"/>
  <c r="G228" i="2"/>
  <c r="K227" i="2"/>
  <c r="J227" i="2"/>
  <c r="I227" i="2"/>
  <c r="H227" i="2"/>
  <c r="G227" i="2"/>
  <c r="L227" i="2" s="1"/>
  <c r="K226" i="2"/>
  <c r="J226" i="2"/>
  <c r="I226" i="2"/>
  <c r="H226" i="2"/>
  <c r="G226" i="2"/>
  <c r="K225" i="2"/>
  <c r="J225" i="2"/>
  <c r="I225" i="2"/>
  <c r="H225" i="2"/>
  <c r="G225" i="2"/>
  <c r="K224" i="2"/>
  <c r="J224" i="2"/>
  <c r="I224" i="2"/>
  <c r="H224" i="2"/>
  <c r="G224" i="2"/>
  <c r="K223" i="2"/>
  <c r="J223" i="2"/>
  <c r="I223" i="2"/>
  <c r="H223" i="2"/>
  <c r="G223" i="2"/>
  <c r="K222" i="2"/>
  <c r="J222" i="2"/>
  <c r="I222" i="2"/>
  <c r="H222" i="2"/>
  <c r="G222" i="2"/>
  <c r="K221" i="2"/>
  <c r="J221" i="2"/>
  <c r="I221" i="2"/>
  <c r="H221" i="2"/>
  <c r="G221" i="2"/>
  <c r="K220" i="2"/>
  <c r="J220" i="2"/>
  <c r="I220" i="2"/>
  <c r="H220" i="2"/>
  <c r="G220" i="2"/>
  <c r="K219" i="2"/>
  <c r="J219" i="2"/>
  <c r="I219" i="2"/>
  <c r="H219" i="2"/>
  <c r="G219" i="2"/>
  <c r="K218" i="2"/>
  <c r="J218" i="2"/>
  <c r="I218" i="2"/>
  <c r="H218" i="2"/>
  <c r="G218" i="2"/>
  <c r="K217" i="2"/>
  <c r="J217" i="2"/>
  <c r="I217" i="2"/>
  <c r="H217" i="2"/>
  <c r="G217" i="2"/>
  <c r="K216" i="2"/>
  <c r="J216" i="2"/>
  <c r="I216" i="2"/>
  <c r="H216" i="2"/>
  <c r="G216" i="2"/>
  <c r="K215" i="2"/>
  <c r="J215" i="2"/>
  <c r="I215" i="2"/>
  <c r="H215" i="2"/>
  <c r="G215" i="2"/>
  <c r="K214" i="2"/>
  <c r="J214" i="2"/>
  <c r="I214" i="2"/>
  <c r="H214" i="2"/>
  <c r="G214" i="2"/>
  <c r="K213" i="2"/>
  <c r="J213" i="2"/>
  <c r="I213" i="2"/>
  <c r="H213" i="2"/>
  <c r="G213" i="2"/>
  <c r="K212" i="2"/>
  <c r="J212" i="2"/>
  <c r="I212" i="2"/>
  <c r="H212" i="2"/>
  <c r="G212" i="2"/>
  <c r="K211" i="2"/>
  <c r="J211" i="2"/>
  <c r="I211" i="2"/>
  <c r="H211" i="2"/>
  <c r="G211" i="2"/>
  <c r="L211" i="2" s="1"/>
  <c r="K210" i="2"/>
  <c r="J210" i="2"/>
  <c r="I210" i="2"/>
  <c r="H210" i="2"/>
  <c r="G210" i="2"/>
  <c r="K209" i="2"/>
  <c r="J209" i="2"/>
  <c r="I209" i="2"/>
  <c r="H209" i="2"/>
  <c r="G209" i="2"/>
  <c r="K208" i="2"/>
  <c r="J208" i="2"/>
  <c r="I208" i="2"/>
  <c r="H208" i="2"/>
  <c r="G208" i="2"/>
  <c r="K207" i="2"/>
  <c r="J207" i="2"/>
  <c r="I207" i="2"/>
  <c r="H207" i="2"/>
  <c r="G207" i="2"/>
  <c r="K206" i="2"/>
  <c r="J206" i="2"/>
  <c r="I206" i="2"/>
  <c r="H206" i="2"/>
  <c r="G206" i="2"/>
  <c r="K205" i="2"/>
  <c r="J205" i="2"/>
  <c r="I205" i="2"/>
  <c r="H205" i="2"/>
  <c r="G205" i="2"/>
  <c r="K204" i="2"/>
  <c r="J204" i="2"/>
  <c r="I204" i="2"/>
  <c r="H204" i="2"/>
  <c r="G204" i="2"/>
  <c r="K203" i="2"/>
  <c r="J203" i="2"/>
  <c r="I203" i="2"/>
  <c r="H203" i="2"/>
  <c r="G203" i="2"/>
  <c r="L203" i="2" s="1"/>
  <c r="K202" i="2"/>
  <c r="J202" i="2"/>
  <c r="I202" i="2"/>
  <c r="H202" i="2"/>
  <c r="G202" i="2"/>
  <c r="K201" i="2"/>
  <c r="J201" i="2"/>
  <c r="I201" i="2"/>
  <c r="H201" i="2"/>
  <c r="G201" i="2"/>
  <c r="K200" i="2"/>
  <c r="J200" i="2"/>
  <c r="I200" i="2"/>
  <c r="H200" i="2"/>
  <c r="G200" i="2"/>
  <c r="K199" i="2"/>
  <c r="J199" i="2"/>
  <c r="I199" i="2"/>
  <c r="H199" i="2"/>
  <c r="G199" i="2"/>
  <c r="K198" i="2"/>
  <c r="J198" i="2"/>
  <c r="I198" i="2"/>
  <c r="H198" i="2"/>
  <c r="G198" i="2"/>
  <c r="K197" i="2"/>
  <c r="J197" i="2"/>
  <c r="I197" i="2"/>
  <c r="H197" i="2"/>
  <c r="G197" i="2"/>
  <c r="K196" i="2"/>
  <c r="J196" i="2"/>
  <c r="I196" i="2"/>
  <c r="H196" i="2"/>
  <c r="G196" i="2"/>
  <c r="K195" i="2"/>
  <c r="J195" i="2"/>
  <c r="I195" i="2"/>
  <c r="H195" i="2"/>
  <c r="G195" i="2"/>
  <c r="L195" i="2" s="1"/>
  <c r="K194" i="2"/>
  <c r="J194" i="2"/>
  <c r="I194" i="2"/>
  <c r="H194" i="2"/>
  <c r="G194" i="2"/>
  <c r="K193" i="2"/>
  <c r="J193" i="2"/>
  <c r="I193" i="2"/>
  <c r="H193" i="2"/>
  <c r="G193" i="2"/>
  <c r="K192" i="2"/>
  <c r="J192" i="2"/>
  <c r="I192" i="2"/>
  <c r="H192" i="2"/>
  <c r="G192" i="2"/>
  <c r="K191" i="2"/>
  <c r="J191" i="2"/>
  <c r="I191" i="2"/>
  <c r="H191" i="2"/>
  <c r="G191" i="2"/>
  <c r="K190" i="2"/>
  <c r="J190" i="2"/>
  <c r="I190" i="2"/>
  <c r="H190" i="2"/>
  <c r="G190" i="2"/>
  <c r="K189" i="2"/>
  <c r="J189" i="2"/>
  <c r="I189" i="2"/>
  <c r="H189" i="2"/>
  <c r="G189" i="2"/>
  <c r="K188" i="2"/>
  <c r="J188" i="2"/>
  <c r="I188" i="2"/>
  <c r="H188" i="2"/>
  <c r="G188" i="2"/>
  <c r="K187" i="2"/>
  <c r="J187" i="2"/>
  <c r="I187" i="2"/>
  <c r="H187" i="2"/>
  <c r="G187" i="2"/>
  <c r="L187" i="2" s="1"/>
  <c r="K186" i="2"/>
  <c r="J186" i="2"/>
  <c r="I186" i="2"/>
  <c r="H186" i="2"/>
  <c r="G186" i="2"/>
  <c r="K185" i="2"/>
  <c r="J185" i="2"/>
  <c r="I185" i="2"/>
  <c r="H185" i="2"/>
  <c r="G185" i="2"/>
  <c r="K184" i="2"/>
  <c r="J184" i="2"/>
  <c r="I184" i="2"/>
  <c r="H184" i="2"/>
  <c r="G184" i="2"/>
  <c r="K183" i="2"/>
  <c r="J183" i="2"/>
  <c r="I183" i="2"/>
  <c r="H183" i="2"/>
  <c r="G183" i="2"/>
  <c r="K182" i="2"/>
  <c r="J182" i="2"/>
  <c r="I182" i="2"/>
  <c r="H182" i="2"/>
  <c r="G182" i="2"/>
  <c r="K181" i="2"/>
  <c r="J181" i="2"/>
  <c r="I181" i="2"/>
  <c r="H181" i="2"/>
  <c r="G181" i="2"/>
  <c r="K180" i="2"/>
  <c r="J180" i="2"/>
  <c r="I180" i="2"/>
  <c r="H180" i="2"/>
  <c r="G180" i="2"/>
  <c r="K179" i="2"/>
  <c r="J179" i="2"/>
  <c r="I179" i="2"/>
  <c r="H179" i="2"/>
  <c r="G179" i="2"/>
  <c r="L179" i="2" s="1"/>
  <c r="K178" i="2"/>
  <c r="J178" i="2"/>
  <c r="I178" i="2"/>
  <c r="H178" i="2"/>
  <c r="G178" i="2"/>
  <c r="K177" i="2"/>
  <c r="J177" i="2"/>
  <c r="I177" i="2"/>
  <c r="H177" i="2"/>
  <c r="G177" i="2"/>
  <c r="K176" i="2"/>
  <c r="J176" i="2"/>
  <c r="I176" i="2"/>
  <c r="H176" i="2"/>
  <c r="G176" i="2"/>
  <c r="K175" i="2"/>
  <c r="J175" i="2"/>
  <c r="I175" i="2"/>
  <c r="H175" i="2"/>
  <c r="G175" i="2"/>
  <c r="K174" i="2"/>
  <c r="J174" i="2"/>
  <c r="I174" i="2"/>
  <c r="H174" i="2"/>
  <c r="G174" i="2"/>
  <c r="K173" i="2"/>
  <c r="J173" i="2"/>
  <c r="I173" i="2"/>
  <c r="H173" i="2"/>
  <c r="G173" i="2"/>
  <c r="K172" i="2"/>
  <c r="J172" i="2"/>
  <c r="I172" i="2"/>
  <c r="H172" i="2"/>
  <c r="G172" i="2"/>
  <c r="K171" i="2"/>
  <c r="J171" i="2"/>
  <c r="I171" i="2"/>
  <c r="H171" i="2"/>
  <c r="G171" i="2"/>
  <c r="K170" i="2"/>
  <c r="J170" i="2"/>
  <c r="I170" i="2"/>
  <c r="H170" i="2"/>
  <c r="G170" i="2"/>
  <c r="K169" i="2"/>
  <c r="J169" i="2"/>
  <c r="I169" i="2"/>
  <c r="H169" i="2"/>
  <c r="G169" i="2"/>
  <c r="K168" i="2"/>
  <c r="J168" i="2"/>
  <c r="I168" i="2"/>
  <c r="H168" i="2"/>
  <c r="G168" i="2"/>
  <c r="K167" i="2"/>
  <c r="J167" i="2"/>
  <c r="I167" i="2"/>
  <c r="H167" i="2"/>
  <c r="G167" i="2"/>
  <c r="K166" i="2"/>
  <c r="J166" i="2"/>
  <c r="I166" i="2"/>
  <c r="H166" i="2"/>
  <c r="G166" i="2"/>
  <c r="K165" i="2"/>
  <c r="J165" i="2"/>
  <c r="I165" i="2"/>
  <c r="H165" i="2"/>
  <c r="G165" i="2"/>
  <c r="K164" i="2"/>
  <c r="J164" i="2"/>
  <c r="I164" i="2"/>
  <c r="H164" i="2"/>
  <c r="G164" i="2"/>
  <c r="K163" i="2"/>
  <c r="J163" i="2"/>
  <c r="I163" i="2"/>
  <c r="H163" i="2"/>
  <c r="G163" i="2"/>
  <c r="L163" i="2" s="1"/>
  <c r="K162" i="2"/>
  <c r="J162" i="2"/>
  <c r="I162" i="2"/>
  <c r="H162" i="2"/>
  <c r="G162" i="2"/>
  <c r="K161" i="2"/>
  <c r="J161" i="2"/>
  <c r="I161" i="2"/>
  <c r="H161" i="2"/>
  <c r="G161" i="2"/>
  <c r="K160" i="2"/>
  <c r="J160" i="2"/>
  <c r="I160" i="2"/>
  <c r="H160" i="2"/>
  <c r="G160" i="2"/>
  <c r="K159" i="2"/>
  <c r="J159" i="2"/>
  <c r="I159" i="2"/>
  <c r="H159" i="2"/>
  <c r="G159" i="2"/>
  <c r="K158" i="2"/>
  <c r="J158" i="2"/>
  <c r="I158" i="2"/>
  <c r="H158" i="2"/>
  <c r="G158" i="2"/>
  <c r="K157" i="2"/>
  <c r="J157" i="2"/>
  <c r="I157" i="2"/>
  <c r="H157" i="2"/>
  <c r="G157" i="2"/>
  <c r="K156" i="2"/>
  <c r="J156" i="2"/>
  <c r="I156" i="2"/>
  <c r="H156" i="2"/>
  <c r="G156" i="2"/>
  <c r="K155" i="2"/>
  <c r="J155" i="2"/>
  <c r="I155" i="2"/>
  <c r="H155" i="2"/>
  <c r="G155" i="2"/>
  <c r="L155" i="2" s="1"/>
  <c r="K154" i="2"/>
  <c r="J154" i="2"/>
  <c r="I154" i="2"/>
  <c r="H154" i="2"/>
  <c r="G154" i="2"/>
  <c r="K153" i="2"/>
  <c r="J153" i="2"/>
  <c r="I153" i="2"/>
  <c r="H153" i="2"/>
  <c r="G153" i="2"/>
  <c r="K152" i="2"/>
  <c r="J152" i="2"/>
  <c r="I152" i="2"/>
  <c r="H152" i="2"/>
  <c r="G152" i="2"/>
  <c r="K151" i="2"/>
  <c r="J151" i="2"/>
  <c r="I151" i="2"/>
  <c r="H151" i="2"/>
  <c r="G151" i="2"/>
  <c r="K150" i="2"/>
  <c r="J150" i="2"/>
  <c r="I150" i="2"/>
  <c r="H150" i="2"/>
  <c r="G150" i="2"/>
  <c r="K149" i="2"/>
  <c r="J149" i="2"/>
  <c r="I149" i="2"/>
  <c r="H149" i="2"/>
  <c r="G149" i="2"/>
  <c r="K148" i="2"/>
  <c r="J148" i="2"/>
  <c r="I148" i="2"/>
  <c r="H148" i="2"/>
  <c r="G148" i="2"/>
  <c r="K147" i="2"/>
  <c r="J147" i="2"/>
  <c r="I147" i="2"/>
  <c r="H147" i="2"/>
  <c r="G147" i="2"/>
  <c r="L147" i="2" s="1"/>
  <c r="K146" i="2"/>
  <c r="J146" i="2"/>
  <c r="I146" i="2"/>
  <c r="H146" i="2"/>
  <c r="G146" i="2"/>
  <c r="K145" i="2"/>
  <c r="J145" i="2"/>
  <c r="I145" i="2"/>
  <c r="H145" i="2"/>
  <c r="G145" i="2"/>
  <c r="K144" i="2"/>
  <c r="J144" i="2"/>
  <c r="I144" i="2"/>
  <c r="H144" i="2"/>
  <c r="G144" i="2"/>
  <c r="K143" i="2"/>
  <c r="J143" i="2"/>
  <c r="I143" i="2"/>
  <c r="H143" i="2"/>
  <c r="G143" i="2"/>
  <c r="K142" i="2"/>
  <c r="J142" i="2"/>
  <c r="I142" i="2"/>
  <c r="H142" i="2"/>
  <c r="G142" i="2"/>
  <c r="K141" i="2"/>
  <c r="J141" i="2"/>
  <c r="I141" i="2"/>
  <c r="H141" i="2"/>
  <c r="G141" i="2"/>
  <c r="K140" i="2"/>
  <c r="J140" i="2"/>
  <c r="I140" i="2"/>
  <c r="H140" i="2"/>
  <c r="G140" i="2"/>
  <c r="K139" i="2"/>
  <c r="J139" i="2"/>
  <c r="I139" i="2"/>
  <c r="H139" i="2"/>
  <c r="G139" i="2"/>
  <c r="K138" i="2"/>
  <c r="J138" i="2"/>
  <c r="I138" i="2"/>
  <c r="H138" i="2"/>
  <c r="G138" i="2"/>
  <c r="K137" i="2"/>
  <c r="J137" i="2"/>
  <c r="I137" i="2"/>
  <c r="H137" i="2"/>
  <c r="G137" i="2"/>
  <c r="K136" i="2"/>
  <c r="J136" i="2"/>
  <c r="I136" i="2"/>
  <c r="H136" i="2"/>
  <c r="G136" i="2"/>
  <c r="K135" i="2"/>
  <c r="J135" i="2"/>
  <c r="I135" i="2"/>
  <c r="H135" i="2"/>
  <c r="G135" i="2"/>
  <c r="K134" i="2"/>
  <c r="J134" i="2"/>
  <c r="I134" i="2"/>
  <c r="H134" i="2"/>
  <c r="G134" i="2"/>
  <c r="K133" i="2"/>
  <c r="J133" i="2"/>
  <c r="I133" i="2"/>
  <c r="H133" i="2"/>
  <c r="G133" i="2"/>
  <c r="K132" i="2"/>
  <c r="J132" i="2"/>
  <c r="I132" i="2"/>
  <c r="H132" i="2"/>
  <c r="G132" i="2"/>
  <c r="K131" i="2"/>
  <c r="J131" i="2"/>
  <c r="I131" i="2"/>
  <c r="H131" i="2"/>
  <c r="G131" i="2"/>
  <c r="K130" i="2"/>
  <c r="J130" i="2"/>
  <c r="I130" i="2"/>
  <c r="H130" i="2"/>
  <c r="G130" i="2"/>
  <c r="K129" i="2"/>
  <c r="J129" i="2"/>
  <c r="I129" i="2"/>
  <c r="H129" i="2"/>
  <c r="G129" i="2"/>
  <c r="K128" i="2"/>
  <c r="J128" i="2"/>
  <c r="I128" i="2"/>
  <c r="H128" i="2"/>
  <c r="G128" i="2"/>
  <c r="K127" i="2"/>
  <c r="J127" i="2"/>
  <c r="I127" i="2"/>
  <c r="H127" i="2"/>
  <c r="G127" i="2"/>
  <c r="K126" i="2"/>
  <c r="J126" i="2"/>
  <c r="I126" i="2"/>
  <c r="H126" i="2"/>
  <c r="G126" i="2"/>
  <c r="K125" i="2"/>
  <c r="J125" i="2"/>
  <c r="I125" i="2"/>
  <c r="H125" i="2"/>
  <c r="G125" i="2"/>
  <c r="K124" i="2"/>
  <c r="J124" i="2"/>
  <c r="I124" i="2"/>
  <c r="H124" i="2"/>
  <c r="G124" i="2"/>
  <c r="K123" i="2"/>
  <c r="J123" i="2"/>
  <c r="I123" i="2"/>
  <c r="H123" i="2"/>
  <c r="G123" i="2"/>
  <c r="L123" i="2" s="1"/>
  <c r="K122" i="2"/>
  <c r="J122" i="2"/>
  <c r="I122" i="2"/>
  <c r="H122" i="2"/>
  <c r="G122" i="2"/>
  <c r="K121" i="2"/>
  <c r="J121" i="2"/>
  <c r="I121" i="2"/>
  <c r="H121" i="2"/>
  <c r="G121" i="2"/>
  <c r="K120" i="2"/>
  <c r="J120" i="2"/>
  <c r="I120" i="2"/>
  <c r="H120" i="2"/>
  <c r="G120" i="2"/>
  <c r="K119" i="2"/>
  <c r="J119" i="2"/>
  <c r="I119" i="2"/>
  <c r="H119" i="2"/>
  <c r="G119" i="2"/>
  <c r="K118" i="2"/>
  <c r="J118" i="2"/>
  <c r="I118" i="2"/>
  <c r="H118" i="2"/>
  <c r="G118" i="2"/>
  <c r="K117" i="2"/>
  <c r="J117" i="2"/>
  <c r="I117" i="2"/>
  <c r="H117" i="2"/>
  <c r="G117" i="2"/>
  <c r="K116" i="2"/>
  <c r="J116" i="2"/>
  <c r="I116" i="2"/>
  <c r="H116" i="2"/>
  <c r="G116" i="2"/>
  <c r="K115" i="2"/>
  <c r="J115" i="2"/>
  <c r="I115" i="2"/>
  <c r="H115" i="2"/>
  <c r="G115" i="2"/>
  <c r="L115" i="2" s="1"/>
  <c r="K114" i="2"/>
  <c r="J114" i="2"/>
  <c r="I114" i="2"/>
  <c r="H114" i="2"/>
  <c r="G114" i="2"/>
  <c r="K113" i="2"/>
  <c r="J113" i="2"/>
  <c r="I113" i="2"/>
  <c r="H113" i="2"/>
  <c r="G113" i="2"/>
  <c r="K112" i="2"/>
  <c r="J112" i="2"/>
  <c r="I112" i="2"/>
  <c r="H112" i="2"/>
  <c r="G112" i="2"/>
  <c r="K111" i="2"/>
  <c r="J111" i="2"/>
  <c r="I111" i="2"/>
  <c r="H111" i="2"/>
  <c r="G111" i="2"/>
  <c r="K110" i="2"/>
  <c r="J110" i="2"/>
  <c r="I110" i="2"/>
  <c r="H110" i="2"/>
  <c r="G110" i="2"/>
  <c r="K109" i="2"/>
  <c r="J109" i="2"/>
  <c r="I109" i="2"/>
  <c r="H109" i="2"/>
  <c r="G109" i="2"/>
  <c r="K108" i="2"/>
  <c r="J108" i="2"/>
  <c r="I108" i="2"/>
  <c r="H108" i="2"/>
  <c r="G108" i="2"/>
  <c r="K107" i="2"/>
  <c r="J107" i="2"/>
  <c r="I107" i="2"/>
  <c r="H107" i="2"/>
  <c r="G107" i="2"/>
  <c r="L107" i="2" s="1"/>
  <c r="K106" i="2"/>
  <c r="J106" i="2"/>
  <c r="I106" i="2"/>
  <c r="H106" i="2"/>
  <c r="G106" i="2"/>
  <c r="K105" i="2"/>
  <c r="J105" i="2"/>
  <c r="I105" i="2"/>
  <c r="H105" i="2"/>
  <c r="G105" i="2"/>
  <c r="K104" i="2"/>
  <c r="J104" i="2"/>
  <c r="I104" i="2"/>
  <c r="H104" i="2"/>
  <c r="G104" i="2"/>
  <c r="K103" i="2"/>
  <c r="J103" i="2"/>
  <c r="I103" i="2"/>
  <c r="H103" i="2"/>
  <c r="G103" i="2"/>
  <c r="K102" i="2"/>
  <c r="J102" i="2"/>
  <c r="I102" i="2"/>
  <c r="H102" i="2"/>
  <c r="G102" i="2"/>
  <c r="K101" i="2"/>
  <c r="J101" i="2"/>
  <c r="I101" i="2"/>
  <c r="H101" i="2"/>
  <c r="G101" i="2"/>
  <c r="K100" i="2"/>
  <c r="J100" i="2"/>
  <c r="I100" i="2"/>
  <c r="H100" i="2"/>
  <c r="G100" i="2"/>
  <c r="K99" i="2"/>
  <c r="J99" i="2"/>
  <c r="I99" i="2"/>
  <c r="H99" i="2"/>
  <c r="G99" i="2"/>
  <c r="K98" i="2"/>
  <c r="J98" i="2"/>
  <c r="I98" i="2"/>
  <c r="H98" i="2"/>
  <c r="G98" i="2"/>
  <c r="K97" i="2"/>
  <c r="J97" i="2"/>
  <c r="I97" i="2"/>
  <c r="H97" i="2"/>
  <c r="G97" i="2"/>
  <c r="K96" i="2"/>
  <c r="J96" i="2"/>
  <c r="I96" i="2"/>
  <c r="H96" i="2"/>
  <c r="G96" i="2"/>
  <c r="K95" i="2"/>
  <c r="J95" i="2"/>
  <c r="I95" i="2"/>
  <c r="H95" i="2"/>
  <c r="G95" i="2"/>
  <c r="K94" i="2"/>
  <c r="J94" i="2"/>
  <c r="I94" i="2"/>
  <c r="H94" i="2"/>
  <c r="G94" i="2"/>
  <c r="K93" i="2"/>
  <c r="J93" i="2"/>
  <c r="I93" i="2"/>
  <c r="H93" i="2"/>
  <c r="G93" i="2"/>
  <c r="K92" i="2"/>
  <c r="J92" i="2"/>
  <c r="I92" i="2"/>
  <c r="H92" i="2"/>
  <c r="G92" i="2"/>
  <c r="K91" i="2"/>
  <c r="J91" i="2"/>
  <c r="I91" i="2"/>
  <c r="H91" i="2"/>
  <c r="G91" i="2"/>
  <c r="K90" i="2"/>
  <c r="J90" i="2"/>
  <c r="I90" i="2"/>
  <c r="H90" i="2"/>
  <c r="G90" i="2"/>
  <c r="K89" i="2"/>
  <c r="J89" i="2"/>
  <c r="I89" i="2"/>
  <c r="H89" i="2"/>
  <c r="G89" i="2"/>
  <c r="K88" i="2"/>
  <c r="J88" i="2"/>
  <c r="I88" i="2"/>
  <c r="H88" i="2"/>
  <c r="G88" i="2"/>
  <c r="K87" i="2"/>
  <c r="J87" i="2"/>
  <c r="I87" i="2"/>
  <c r="H87" i="2"/>
  <c r="G87" i="2"/>
  <c r="K86" i="2"/>
  <c r="J86" i="2"/>
  <c r="I86" i="2"/>
  <c r="H86" i="2"/>
  <c r="G86" i="2"/>
  <c r="K85" i="2"/>
  <c r="J85" i="2"/>
  <c r="I85" i="2"/>
  <c r="H85" i="2"/>
  <c r="G85" i="2"/>
  <c r="K84" i="2"/>
  <c r="J84" i="2"/>
  <c r="I84" i="2"/>
  <c r="H84" i="2"/>
  <c r="G84" i="2"/>
  <c r="K83" i="2"/>
  <c r="J83" i="2"/>
  <c r="I83" i="2"/>
  <c r="H83" i="2"/>
  <c r="G83" i="2"/>
  <c r="L83" i="2" s="1"/>
  <c r="K82" i="2"/>
  <c r="J82" i="2"/>
  <c r="I82" i="2"/>
  <c r="H82" i="2"/>
  <c r="G82" i="2"/>
  <c r="K81" i="2"/>
  <c r="J81" i="2"/>
  <c r="I81" i="2"/>
  <c r="H81" i="2"/>
  <c r="G81" i="2"/>
  <c r="K80" i="2"/>
  <c r="J80" i="2"/>
  <c r="I80" i="2"/>
  <c r="H80" i="2"/>
  <c r="G80" i="2"/>
  <c r="K79" i="2"/>
  <c r="J79" i="2"/>
  <c r="I79" i="2"/>
  <c r="H79" i="2"/>
  <c r="G79" i="2"/>
  <c r="K78" i="2"/>
  <c r="J78" i="2"/>
  <c r="I78" i="2"/>
  <c r="H78" i="2"/>
  <c r="G78" i="2"/>
  <c r="K77" i="2"/>
  <c r="J77" i="2"/>
  <c r="I77" i="2"/>
  <c r="H77" i="2"/>
  <c r="G77" i="2"/>
  <c r="K76" i="2"/>
  <c r="J76" i="2"/>
  <c r="I76" i="2"/>
  <c r="H76" i="2"/>
  <c r="G76" i="2"/>
  <c r="K75" i="2"/>
  <c r="J75" i="2"/>
  <c r="I75" i="2"/>
  <c r="H75" i="2"/>
  <c r="G75" i="2"/>
  <c r="L75" i="2" s="1"/>
  <c r="K74" i="2"/>
  <c r="J74" i="2"/>
  <c r="I74" i="2"/>
  <c r="H74" i="2"/>
  <c r="G74" i="2"/>
  <c r="K73" i="2"/>
  <c r="J73" i="2"/>
  <c r="I73" i="2"/>
  <c r="H73" i="2"/>
  <c r="G73" i="2"/>
  <c r="K72" i="2"/>
  <c r="J72" i="2"/>
  <c r="I72" i="2"/>
  <c r="H72" i="2"/>
  <c r="G72" i="2"/>
  <c r="K71" i="2"/>
  <c r="J71" i="2"/>
  <c r="I71" i="2"/>
  <c r="H71" i="2"/>
  <c r="G71" i="2"/>
  <c r="K70" i="2"/>
  <c r="J70" i="2"/>
  <c r="I70" i="2"/>
  <c r="H70" i="2"/>
  <c r="G70" i="2"/>
  <c r="K69" i="2"/>
  <c r="J69" i="2"/>
  <c r="I69" i="2"/>
  <c r="H69" i="2"/>
  <c r="G69" i="2"/>
  <c r="K68" i="2"/>
  <c r="J68" i="2"/>
  <c r="I68" i="2"/>
  <c r="H68" i="2"/>
  <c r="G68" i="2"/>
  <c r="K67" i="2"/>
  <c r="J67" i="2"/>
  <c r="I67" i="2"/>
  <c r="H67" i="2"/>
  <c r="G67" i="2"/>
  <c r="L67" i="2" s="1"/>
  <c r="K66" i="2"/>
  <c r="J66" i="2"/>
  <c r="I66" i="2"/>
  <c r="H66" i="2"/>
  <c r="G66" i="2"/>
  <c r="K65" i="2"/>
  <c r="J65" i="2"/>
  <c r="I65" i="2"/>
  <c r="H65" i="2"/>
  <c r="G65" i="2"/>
  <c r="K64" i="2"/>
  <c r="J64" i="2"/>
  <c r="I64" i="2"/>
  <c r="H64" i="2"/>
  <c r="G64" i="2"/>
  <c r="K63" i="2"/>
  <c r="J63" i="2"/>
  <c r="I63" i="2"/>
  <c r="H63" i="2"/>
  <c r="G63" i="2"/>
  <c r="K62" i="2"/>
  <c r="J62" i="2"/>
  <c r="I62" i="2"/>
  <c r="H62" i="2"/>
  <c r="G62" i="2"/>
  <c r="K61" i="2"/>
  <c r="J61" i="2"/>
  <c r="I61" i="2"/>
  <c r="H61" i="2"/>
  <c r="G61" i="2"/>
  <c r="K60" i="2"/>
  <c r="J60" i="2"/>
  <c r="I60" i="2"/>
  <c r="H60" i="2"/>
  <c r="G60" i="2"/>
  <c r="K59" i="2"/>
  <c r="J59" i="2"/>
  <c r="I59" i="2"/>
  <c r="H59" i="2"/>
  <c r="G59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K54" i="2"/>
  <c r="J54" i="2"/>
  <c r="I54" i="2"/>
  <c r="H54" i="2"/>
  <c r="G54" i="2"/>
  <c r="K53" i="2"/>
  <c r="J53" i="2"/>
  <c r="I53" i="2"/>
  <c r="H53" i="2"/>
  <c r="G53" i="2"/>
  <c r="K52" i="2"/>
  <c r="J52" i="2"/>
  <c r="I52" i="2"/>
  <c r="H52" i="2"/>
  <c r="G52" i="2"/>
  <c r="K51" i="2"/>
  <c r="J51" i="2"/>
  <c r="I51" i="2"/>
  <c r="H51" i="2"/>
  <c r="G51" i="2"/>
  <c r="K50" i="2"/>
  <c r="J50" i="2"/>
  <c r="I50" i="2"/>
  <c r="H50" i="2"/>
  <c r="G50" i="2"/>
  <c r="K49" i="2"/>
  <c r="J49" i="2"/>
  <c r="I49" i="2"/>
  <c r="H49" i="2"/>
  <c r="G49" i="2"/>
  <c r="K48" i="2"/>
  <c r="J48" i="2"/>
  <c r="I48" i="2"/>
  <c r="H48" i="2"/>
  <c r="G48" i="2"/>
  <c r="K47" i="2"/>
  <c r="J47" i="2"/>
  <c r="I47" i="2"/>
  <c r="H47" i="2"/>
  <c r="G47" i="2"/>
  <c r="K46" i="2"/>
  <c r="J46" i="2"/>
  <c r="I46" i="2"/>
  <c r="H46" i="2"/>
  <c r="G46" i="2"/>
  <c r="K45" i="2"/>
  <c r="J45" i="2"/>
  <c r="I45" i="2"/>
  <c r="H45" i="2"/>
  <c r="G45" i="2"/>
  <c r="K44" i="2"/>
  <c r="J44" i="2"/>
  <c r="I44" i="2"/>
  <c r="H44" i="2"/>
  <c r="G44" i="2"/>
  <c r="K43" i="2"/>
  <c r="J43" i="2"/>
  <c r="I43" i="2"/>
  <c r="H43" i="2"/>
  <c r="G43" i="2"/>
  <c r="L43" i="2" s="1"/>
  <c r="K42" i="2"/>
  <c r="J42" i="2"/>
  <c r="I42" i="2"/>
  <c r="H42" i="2"/>
  <c r="G42" i="2"/>
  <c r="K41" i="2"/>
  <c r="J41" i="2"/>
  <c r="I41" i="2"/>
  <c r="H41" i="2"/>
  <c r="G41" i="2"/>
  <c r="K40" i="2"/>
  <c r="J40" i="2"/>
  <c r="I40" i="2"/>
  <c r="H40" i="2"/>
  <c r="G40" i="2"/>
  <c r="K39" i="2"/>
  <c r="J39" i="2"/>
  <c r="I39" i="2"/>
  <c r="H39" i="2"/>
  <c r="G39" i="2"/>
  <c r="K38" i="2"/>
  <c r="J38" i="2"/>
  <c r="I38" i="2"/>
  <c r="H38" i="2"/>
  <c r="G38" i="2"/>
  <c r="K37" i="2"/>
  <c r="J37" i="2"/>
  <c r="I37" i="2"/>
  <c r="H37" i="2"/>
  <c r="G37" i="2"/>
  <c r="K36" i="2"/>
  <c r="J36" i="2"/>
  <c r="I36" i="2"/>
  <c r="H36" i="2"/>
  <c r="G36" i="2"/>
  <c r="K35" i="2"/>
  <c r="J35" i="2"/>
  <c r="I35" i="2"/>
  <c r="H35" i="2"/>
  <c r="G35" i="2"/>
  <c r="L35" i="2" s="1"/>
  <c r="K34" i="2"/>
  <c r="J34" i="2"/>
  <c r="I34" i="2"/>
  <c r="H34" i="2"/>
  <c r="G34" i="2"/>
  <c r="K33" i="2"/>
  <c r="J33" i="2"/>
  <c r="I33" i="2"/>
  <c r="H33" i="2"/>
  <c r="G33" i="2"/>
  <c r="K32" i="2"/>
  <c r="J32" i="2"/>
  <c r="I32" i="2"/>
  <c r="H32" i="2"/>
  <c r="G32" i="2"/>
  <c r="K31" i="2"/>
  <c r="J31" i="2"/>
  <c r="I31" i="2"/>
  <c r="H31" i="2"/>
  <c r="G31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L27" i="2" s="1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L11" i="2" s="1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  <c r="K4" i="2"/>
  <c r="J4" i="2"/>
  <c r="I4" i="2"/>
  <c r="H4" i="2"/>
  <c r="G4" i="2"/>
  <c r="K3" i="2"/>
  <c r="J3" i="2"/>
  <c r="I3" i="2"/>
  <c r="H3" i="2"/>
  <c r="L474" i="2"/>
  <c r="L626" i="2"/>
  <c r="L630" i="2"/>
  <c r="L686" i="2"/>
  <c r="L690" i="2"/>
  <c r="L722" i="2"/>
  <c r="L730" i="2"/>
  <c r="G3" i="2"/>
  <c r="L3" i="2" s="1"/>
  <c r="E14" i="1" l="1"/>
  <c r="F14" i="1"/>
  <c r="G14" i="1"/>
  <c r="H14" i="1"/>
  <c r="D14" i="1"/>
  <c r="L188" i="2"/>
  <c r="L358" i="2"/>
  <c r="L444" i="2"/>
  <c r="L454" i="2"/>
  <c r="L484" i="2"/>
  <c r="L492" i="2"/>
  <c r="L516" i="2"/>
  <c r="L518" i="2"/>
  <c r="L540" i="2"/>
  <c r="L550" i="2"/>
  <c r="L558" i="2"/>
  <c r="L564" i="2"/>
  <c r="L566" i="2"/>
  <c r="L574" i="2"/>
  <c r="L580" i="2"/>
  <c r="L588" i="2"/>
  <c r="L590" i="2"/>
  <c r="L596" i="2"/>
  <c r="L598" i="2"/>
  <c r="L604" i="2"/>
  <c r="L606" i="2"/>
  <c r="L614" i="2"/>
  <c r="L620" i="2"/>
  <c r="L628" i="2"/>
  <c r="L636" i="2"/>
  <c r="L638" i="2"/>
  <c r="L644" i="2"/>
  <c r="L646" i="2"/>
  <c r="L654" i="2"/>
  <c r="L660" i="2"/>
  <c r="L668" i="2"/>
  <c r="L670" i="2"/>
  <c r="L676" i="2"/>
  <c r="L678" i="2"/>
  <c r="L684" i="2"/>
  <c r="L694" i="2"/>
  <c r="L700" i="2"/>
  <c r="L702" i="2"/>
  <c r="L708" i="2"/>
  <c r="L710" i="2"/>
  <c r="L716" i="2"/>
  <c r="L718" i="2"/>
  <c r="L726" i="2"/>
  <c r="L732" i="2"/>
  <c r="L734" i="2"/>
  <c r="L5" i="2"/>
  <c r="L13" i="2"/>
  <c r="L29" i="2"/>
  <c r="L37" i="2"/>
  <c r="L45" i="2"/>
  <c r="L53" i="2"/>
  <c r="L61" i="2"/>
  <c r="L77" i="2"/>
  <c r="L85" i="2"/>
  <c r="L93" i="2"/>
  <c r="L117" i="2"/>
  <c r="L125" i="2"/>
  <c r="L133" i="2"/>
  <c r="L157" i="2"/>
  <c r="L165" i="2"/>
  <c r="L173" i="2"/>
  <c r="L197" i="2"/>
  <c r="L205" i="2"/>
  <c r="L213" i="2"/>
  <c r="L229" i="2"/>
  <c r="L237" i="2"/>
  <c r="L245" i="2"/>
  <c r="L253" i="2"/>
  <c r="L261" i="2"/>
  <c r="L277" i="2"/>
  <c r="L285" i="2"/>
  <c r="L373" i="2"/>
  <c r="L389" i="2"/>
  <c r="L429" i="2"/>
  <c r="L437" i="2"/>
  <c r="L453" i="2"/>
  <c r="L461" i="2"/>
  <c r="L469" i="2"/>
  <c r="L488" i="2"/>
  <c r="L504" i="2"/>
  <c r="L528" i="2"/>
  <c r="L560" i="2"/>
  <c r="L568" i="2"/>
  <c r="L576" i="2"/>
  <c r="L584" i="2"/>
  <c r="L589" i="2"/>
  <c r="L600" i="2"/>
  <c r="L608" i="2"/>
  <c r="L613" i="2"/>
  <c r="L616" i="2"/>
  <c r="L624" i="2"/>
  <c r="L640" i="2"/>
  <c r="L645" i="2"/>
  <c r="L648" i="2"/>
  <c r="L656" i="2"/>
  <c r="L661" i="2"/>
  <c r="L664" i="2"/>
  <c r="L669" i="2"/>
  <c r="L680" i="2"/>
  <c r="L688" i="2"/>
  <c r="L696" i="2"/>
  <c r="L712" i="2"/>
  <c r="L728" i="2"/>
  <c r="L338" i="2"/>
  <c r="L322" i="2"/>
  <c r="L288" i="2"/>
  <c r="L384" i="2"/>
  <c r="L400" i="2"/>
  <c r="L428" i="2"/>
  <c r="L350" i="2"/>
  <c r="L398" i="2"/>
  <c r="L422" i="2"/>
  <c r="L7" i="2"/>
  <c r="L15" i="2"/>
  <c r="L23" i="2"/>
  <c r="L47" i="2"/>
  <c r="L55" i="2"/>
  <c r="L63" i="2"/>
  <c r="L79" i="2"/>
  <c r="L87" i="2"/>
  <c r="L95" i="2"/>
  <c r="L103" i="2"/>
  <c r="L111" i="2"/>
  <c r="L127" i="2"/>
  <c r="L135" i="2"/>
  <c r="L143" i="2"/>
  <c r="L167" i="2"/>
  <c r="L175" i="2"/>
  <c r="L183" i="2"/>
  <c r="L207" i="2"/>
  <c r="L215" i="2"/>
  <c r="L223" i="2"/>
  <c r="L247" i="2"/>
  <c r="L255" i="2"/>
  <c r="L263" i="2"/>
  <c r="L279" i="2"/>
  <c r="L287" i="2"/>
  <c r="L383" i="2"/>
  <c r="L391" i="2"/>
  <c r="L431" i="2"/>
  <c r="L439" i="2"/>
  <c r="L463" i="2"/>
  <c r="L471" i="2"/>
  <c r="L479" i="2"/>
  <c r="L535" i="2"/>
  <c r="L559" i="2"/>
  <c r="L228" i="2"/>
  <c r="L260" i="2"/>
  <c r="L340" i="2"/>
  <c r="L412" i="2"/>
  <c r="L17" i="2"/>
  <c r="L25" i="2"/>
  <c r="L33" i="2"/>
  <c r="L57" i="2"/>
  <c r="L65" i="2"/>
  <c r="L73" i="2"/>
  <c r="L97" i="2"/>
  <c r="L105" i="2"/>
  <c r="L113" i="2"/>
  <c r="L129" i="2"/>
  <c r="L137" i="2"/>
  <c r="L145" i="2"/>
  <c r="L153" i="2"/>
  <c r="L161" i="2"/>
  <c r="L177" i="2"/>
  <c r="L185" i="2"/>
  <c r="L193" i="2"/>
  <c r="L217" i="2"/>
  <c r="L225" i="2"/>
  <c r="L233" i="2"/>
  <c r="L257" i="2"/>
  <c r="L265" i="2"/>
  <c r="L273" i="2"/>
  <c r="L385" i="2"/>
  <c r="L393" i="2"/>
  <c r="L433" i="2"/>
  <c r="L441" i="2"/>
  <c r="L449" i="2"/>
  <c r="L473" i="2"/>
  <c r="L481" i="2"/>
  <c r="L489" i="2"/>
  <c r="L513" i="2"/>
  <c r="L553" i="2"/>
  <c r="L601" i="2"/>
  <c r="L625" i="2"/>
  <c r="L633" i="2"/>
  <c r="L657" i="2"/>
  <c r="L681" i="2"/>
  <c r="L334" i="2"/>
  <c r="L366" i="2"/>
  <c r="L390" i="2"/>
  <c r="L100" i="2"/>
  <c r="L138" i="2"/>
  <c r="L168" i="2"/>
  <c r="L198" i="2"/>
  <c r="L218" i="2"/>
  <c r="L250" i="2"/>
  <c r="L306" i="2"/>
  <c r="L318" i="2"/>
  <c r="L320" i="2"/>
  <c r="L326" i="2"/>
  <c r="L328" i="2"/>
  <c r="L336" i="2"/>
  <c r="L344" i="2"/>
  <c r="L346" i="2"/>
  <c r="L348" i="2"/>
  <c r="L352" i="2"/>
  <c r="L356" i="2"/>
  <c r="L360" i="2"/>
  <c r="L372" i="2"/>
  <c r="L376" i="2"/>
  <c r="L378" i="2"/>
  <c r="L386" i="2"/>
  <c r="L388" i="2"/>
  <c r="L396" i="2"/>
  <c r="L402" i="2"/>
  <c r="L408" i="2"/>
  <c r="L410" i="2"/>
  <c r="L416" i="2"/>
  <c r="L418" i="2"/>
  <c r="L426" i="2"/>
  <c r="L436" i="2"/>
  <c r="L438" i="2"/>
  <c r="L442" i="2"/>
  <c r="L446" i="2"/>
  <c r="L448" i="2"/>
  <c r="L456" i="2"/>
  <c r="L464" i="2"/>
  <c r="L466" i="2"/>
  <c r="L468" i="2"/>
  <c r="L476" i="2"/>
  <c r="L478" i="2"/>
  <c r="L486" i="2"/>
  <c r="L494" i="2"/>
  <c r="L496" i="2"/>
  <c r="L498" i="2"/>
  <c r="L506" i="2"/>
  <c r="L508" i="2"/>
  <c r="L514" i="2"/>
  <c r="L524" i="2"/>
  <c r="L526" i="2"/>
  <c r="L530" i="2"/>
  <c r="L534" i="2"/>
  <c r="L536" i="2"/>
  <c r="L544" i="2"/>
  <c r="L546" i="2"/>
  <c r="L548" i="2"/>
  <c r="L554" i="2"/>
  <c r="L556" i="2"/>
  <c r="L293" i="2"/>
  <c r="L295" i="2"/>
  <c r="L297" i="2"/>
  <c r="L303" i="2"/>
  <c r="L305" i="2"/>
  <c r="L307" i="2"/>
  <c r="L313" i="2"/>
  <c r="L315" i="2"/>
  <c r="L317" i="2"/>
  <c r="L321" i="2"/>
  <c r="L325" i="2"/>
  <c r="L327" i="2"/>
  <c r="L331" i="2"/>
  <c r="L333" i="2"/>
  <c r="L335" i="2"/>
  <c r="L341" i="2"/>
  <c r="L343" i="2"/>
  <c r="L345" i="2"/>
  <c r="L347" i="2"/>
  <c r="L353" i="2"/>
  <c r="L355" i="2"/>
  <c r="L357" i="2"/>
  <c r="L363" i="2"/>
  <c r="L365" i="2"/>
  <c r="L367" i="2"/>
  <c r="L375" i="2"/>
  <c r="L377" i="2"/>
  <c r="L381" i="2"/>
  <c r="L395" i="2"/>
  <c r="L397" i="2"/>
  <c r="L403" i="2"/>
  <c r="L405" i="2"/>
  <c r="L407" i="2"/>
  <c r="L415" i="2"/>
  <c r="L417" i="2"/>
  <c r="L421" i="2"/>
  <c r="L427" i="2"/>
  <c r="L493" i="2"/>
  <c r="L10" i="2"/>
  <c r="L110" i="2"/>
  <c r="L40" i="2"/>
  <c r="L50" i="2"/>
  <c r="L70" i="2"/>
  <c r="L8" i="2"/>
  <c r="L12" i="2"/>
  <c r="L16" i="2"/>
  <c r="L18" i="2"/>
  <c r="L20" i="2"/>
  <c r="L22" i="2"/>
  <c r="L28" i="2"/>
  <c r="L30" i="2"/>
  <c r="L38" i="2"/>
  <c r="L42" i="2"/>
  <c r="L48" i="2"/>
  <c r="L52" i="2"/>
  <c r="L58" i="2"/>
  <c r="L60" i="2"/>
  <c r="L62" i="2"/>
  <c r="L66" i="2"/>
  <c r="L68" i="2"/>
  <c r="L72" i="2"/>
  <c r="L78" i="2"/>
  <c r="L80" i="2"/>
  <c r="L82" i="2"/>
  <c r="L86" i="2"/>
  <c r="L88" i="2"/>
  <c r="L90" i="2"/>
  <c r="L92" i="2"/>
  <c r="L98" i="2"/>
  <c r="L102" i="2"/>
  <c r="L108" i="2"/>
  <c r="L112" i="2"/>
  <c r="L116" i="2"/>
  <c r="L118" i="2"/>
  <c r="L120" i="2"/>
  <c r="L122" i="2"/>
  <c r="L128" i="2"/>
  <c r="L130" i="2"/>
  <c r="L136" i="2"/>
  <c r="L140" i="2"/>
  <c r="L142" i="2"/>
  <c r="L148" i="2"/>
  <c r="L150" i="2"/>
  <c r="L152" i="2"/>
  <c r="L158" i="2"/>
  <c r="L160" i="2"/>
  <c r="L162" i="2"/>
  <c r="L166" i="2"/>
  <c r="L170" i="2"/>
  <c r="L172" i="2"/>
  <c r="L178" i="2"/>
  <c r="L180" i="2"/>
  <c r="L182" i="2"/>
  <c r="L186" i="2"/>
  <c r="L190" i="2"/>
  <c r="L192" i="2"/>
  <c r="L200" i="2"/>
  <c r="L202" i="2"/>
  <c r="L208" i="2"/>
  <c r="L210" i="2"/>
  <c r="L212" i="2"/>
  <c r="L216" i="2"/>
  <c r="L220" i="2"/>
  <c r="L222" i="2"/>
  <c r="L230" i="2"/>
  <c r="L236" i="2"/>
  <c r="L238" i="2"/>
  <c r="L240" i="2"/>
  <c r="L242" i="2"/>
  <c r="L248" i="2"/>
  <c r="L252" i="2"/>
  <c r="L258" i="2"/>
  <c r="L262" i="2"/>
  <c r="L501" i="2"/>
  <c r="L503" i="2"/>
  <c r="L509" i="2"/>
  <c r="L511" i="2"/>
  <c r="L519" i="2"/>
  <c r="L521" i="2"/>
  <c r="L525" i="2"/>
  <c r="L529" i="2"/>
  <c r="L531" i="2"/>
  <c r="L533" i="2"/>
  <c r="L539" i="2"/>
  <c r="L541" i="2"/>
  <c r="L543" i="2"/>
  <c r="L545" i="2"/>
  <c r="L549" i="2"/>
  <c r="L551" i="2"/>
  <c r="L555" i="2"/>
  <c r="L557" i="2"/>
  <c r="L561" i="2"/>
  <c r="L563" i="2"/>
  <c r="L565" i="2"/>
  <c r="L569" i="2"/>
  <c r="L573" i="2"/>
  <c r="L575" i="2"/>
  <c r="L579" i="2"/>
  <c r="L581" i="2"/>
  <c r="L583" i="2"/>
  <c r="L585" i="2"/>
  <c r="L591" i="2"/>
  <c r="L593" i="2"/>
  <c r="L595" i="2"/>
  <c r="L599" i="2"/>
  <c r="L603" i="2"/>
  <c r="L605" i="2"/>
  <c r="L607" i="2"/>
  <c r="L609" i="2"/>
  <c r="L611" i="2"/>
  <c r="L615" i="2"/>
  <c r="L619" i="2"/>
  <c r="L621" i="2"/>
  <c r="L623" i="2"/>
  <c r="L629" i="2"/>
  <c r="L631" i="2"/>
  <c r="L635" i="2"/>
  <c r="L639" i="2"/>
  <c r="L641" i="2"/>
  <c r="L643" i="2"/>
  <c r="L649" i="2"/>
  <c r="L651" i="2"/>
  <c r="L653" i="2"/>
  <c r="L655" i="2"/>
  <c r="L659" i="2"/>
  <c r="L663" i="2"/>
  <c r="L665" i="2"/>
  <c r="L671" i="2"/>
  <c r="L673" i="2"/>
  <c r="L675" i="2"/>
  <c r="L679" i="2"/>
  <c r="L683" i="2"/>
  <c r="L685" i="2"/>
  <c r="L689" i="2"/>
  <c r="L691" i="2"/>
  <c r="L693" i="2"/>
  <c r="L695" i="2"/>
  <c r="L697" i="2"/>
  <c r="L699" i="2"/>
  <c r="L701" i="2"/>
  <c r="L703" i="2"/>
  <c r="L705" i="2"/>
  <c r="L707" i="2"/>
  <c r="L709" i="2"/>
  <c r="L711" i="2"/>
  <c r="L713" i="2"/>
  <c r="L715" i="2"/>
  <c r="L717" i="2"/>
  <c r="L719" i="2"/>
  <c r="L721" i="2"/>
  <c r="L723" i="2"/>
  <c r="L725" i="2"/>
  <c r="L727" i="2"/>
  <c r="L729" i="2"/>
  <c r="L731" i="2"/>
  <c r="L733" i="2"/>
  <c r="L735" i="2"/>
  <c r="L737" i="2"/>
  <c r="L266" i="2"/>
  <c r="L268" i="2"/>
  <c r="L270" i="2"/>
  <c r="L272" i="2"/>
  <c r="L278" i="2"/>
  <c r="L280" i="2"/>
  <c r="L282" i="2"/>
  <c r="L290" i="2"/>
  <c r="L292" i="2"/>
  <c r="L298" i="2"/>
  <c r="L308" i="2"/>
  <c r="L310" i="2"/>
  <c r="L312" i="2"/>
  <c r="L667" i="2"/>
  <c r="L617" i="2"/>
  <c r="L567" i="2"/>
  <c r="L515" i="2"/>
  <c r="L490" i="2"/>
  <c r="L465" i="2"/>
  <c r="L440" i="2"/>
  <c r="L420" i="2"/>
  <c r="L401" i="2"/>
  <c r="L339" i="2"/>
  <c r="L286" i="2"/>
  <c r="L214" i="2"/>
  <c r="L201" i="2"/>
  <c r="L114" i="2"/>
  <c r="L101" i="2"/>
  <c r="L14" i="2"/>
  <c r="L662" i="2"/>
  <c r="L522" i="2"/>
  <c r="L497" i="2"/>
  <c r="L472" i="2"/>
  <c r="L447" i="2"/>
  <c r="L337" i="2"/>
  <c r="L199" i="2"/>
  <c r="L99" i="2"/>
  <c r="L672" i="2"/>
  <c r="L622" i="2"/>
  <c r="L677" i="2"/>
  <c r="L627" i="2"/>
  <c r="L577" i="2"/>
  <c r="L527" i="2"/>
  <c r="L520" i="2"/>
  <c r="L495" i="2"/>
  <c r="L470" i="2"/>
  <c r="L445" i="2"/>
  <c r="L380" i="2"/>
  <c r="L232" i="2"/>
  <c r="L132" i="2"/>
  <c r="L32" i="2"/>
  <c r="L562" i="2"/>
  <c r="L517" i="2"/>
  <c r="L572" i="2"/>
  <c r="L632" i="2"/>
  <c r="L582" i="2"/>
  <c r="L532" i="2"/>
  <c r="L502" i="2"/>
  <c r="L477" i="2"/>
  <c r="L452" i="2"/>
  <c r="L406" i="2"/>
  <c r="L382" i="2"/>
  <c r="L361" i="2"/>
  <c r="L637" i="2"/>
  <c r="L587" i="2"/>
  <c r="L537" i="2"/>
  <c r="L500" i="2"/>
  <c r="L475" i="2"/>
  <c r="L450" i="2"/>
  <c r="L425" i="2"/>
  <c r="L423" i="2"/>
  <c r="L342" i="2"/>
  <c r="L36" i="2"/>
  <c r="L612" i="2"/>
  <c r="L682" i="2"/>
  <c r="L692" i="2"/>
  <c r="L542" i="2"/>
  <c r="L507" i="2"/>
  <c r="L482" i="2"/>
  <c r="L457" i="2"/>
  <c r="L432" i="2"/>
  <c r="L387" i="2"/>
  <c r="L370" i="2"/>
  <c r="L323" i="2"/>
  <c r="L300" i="2"/>
  <c r="L264" i="2"/>
  <c r="L251" i="2"/>
  <c r="L164" i="2"/>
  <c r="L151" i="2"/>
  <c r="L64" i="2"/>
  <c r="L51" i="2"/>
  <c r="L687" i="2"/>
  <c r="L642" i="2"/>
  <c r="L592" i="2"/>
  <c r="L647" i="2"/>
  <c r="L597" i="2"/>
  <c r="L547" i="2"/>
  <c r="L505" i="2"/>
  <c r="L480" i="2"/>
  <c r="L455" i="2"/>
  <c r="L430" i="2"/>
  <c r="L368" i="2"/>
  <c r="L351" i="2"/>
  <c r="L304" i="2"/>
  <c r="L249" i="2"/>
  <c r="L149" i="2"/>
  <c r="L49" i="2"/>
  <c r="L652" i="2"/>
  <c r="L602" i="2"/>
  <c r="L552" i="2"/>
  <c r="L512" i="2"/>
  <c r="L487" i="2"/>
  <c r="L462" i="2"/>
  <c r="L413" i="2"/>
  <c r="L411" i="2"/>
  <c r="L330" i="2"/>
  <c r="L302" i="2"/>
  <c r="L510" i="2"/>
  <c r="L485" i="2"/>
  <c r="L460" i="2"/>
  <c r="L435" i="2"/>
  <c r="L394" i="2"/>
  <c r="L392" i="2"/>
  <c r="L332" i="2"/>
  <c r="L311" i="2"/>
  <c r="L399" i="2"/>
  <c r="L349" i="2"/>
  <c r="L309" i="2"/>
  <c r="L284" i="2"/>
  <c r="L271" i="2"/>
  <c r="L234" i="2"/>
  <c r="L221" i="2"/>
  <c r="L184" i="2"/>
  <c r="L171" i="2"/>
  <c r="L134" i="2"/>
  <c r="L121" i="2"/>
  <c r="L84" i="2"/>
  <c r="L71" i="2"/>
  <c r="L34" i="2"/>
  <c r="L21" i="2"/>
  <c r="L404" i="2"/>
  <c r="L354" i="2"/>
  <c r="L316" i="2"/>
  <c r="L291" i="2"/>
  <c r="L269" i="2"/>
  <c r="L256" i="2"/>
  <c r="L219" i="2"/>
  <c r="L206" i="2"/>
  <c r="L169" i="2"/>
  <c r="L156" i="2"/>
  <c r="L119" i="2"/>
  <c r="L106" i="2"/>
  <c r="L69" i="2"/>
  <c r="L56" i="2"/>
  <c r="L19" i="2"/>
  <c r="L6" i="2"/>
  <c r="L4" i="2"/>
  <c r="L409" i="2"/>
  <c r="L359" i="2"/>
  <c r="L314" i="2"/>
  <c r="L289" i="2"/>
  <c r="L254" i="2"/>
  <c r="L241" i="2"/>
  <c r="L204" i="2"/>
  <c r="L191" i="2"/>
  <c r="L154" i="2"/>
  <c r="L141" i="2"/>
  <c r="L104" i="2"/>
  <c r="L91" i="2"/>
  <c r="L54" i="2"/>
  <c r="L41" i="2"/>
  <c r="L414" i="2"/>
  <c r="L364" i="2"/>
  <c r="L296" i="2"/>
  <c r="L276" i="2"/>
  <c r="L239" i="2"/>
  <c r="L226" i="2"/>
  <c r="L189" i="2"/>
  <c r="L176" i="2"/>
  <c r="L139" i="2"/>
  <c r="L126" i="2"/>
  <c r="L89" i="2"/>
  <c r="L76" i="2"/>
  <c r="L39" i="2"/>
  <c r="L26" i="2"/>
  <c r="L419" i="2"/>
  <c r="L369" i="2"/>
  <c r="L319" i="2"/>
  <c r="L294" i="2"/>
  <c r="L274" i="2"/>
  <c r="L224" i="2"/>
  <c r="L174" i="2"/>
  <c r="L124" i="2"/>
  <c r="L74" i="2"/>
  <c r="L24" i="2"/>
  <c r="L9" i="2"/>
  <c r="L424" i="2"/>
  <c r="L374" i="2"/>
  <c r="L324" i="2"/>
  <c r="L301" i="2"/>
  <c r="L259" i="2"/>
  <c r="L246" i="2"/>
  <c r="L209" i="2"/>
  <c r="L196" i="2"/>
  <c r="L159" i="2"/>
  <c r="L146" i="2"/>
  <c r="L109" i="2"/>
  <c r="L96" i="2"/>
  <c r="L59" i="2"/>
  <c r="L46" i="2"/>
  <c r="L379" i="2"/>
  <c r="L329" i="2"/>
  <c r="L299" i="2"/>
  <c r="L281" i="2"/>
  <c r="L244" i="2"/>
  <c r="L231" i="2"/>
  <c r="L194" i="2"/>
  <c r="L181" i="2"/>
  <c r="L144" i="2"/>
  <c r="L131" i="2"/>
  <c r="L94" i="2"/>
  <c r="L81" i="2"/>
  <c r="L44" i="2"/>
  <c r="L31" i="2"/>
  <c r="I14" i="1" l="1"/>
</calcChain>
</file>

<file path=xl/sharedStrings.xml><?xml version="1.0" encoding="utf-8"?>
<sst xmlns="http://schemas.openxmlformats.org/spreadsheetml/2006/main" count="34" uniqueCount="27">
  <si>
    <t>T H E F I N {A} N A L Y T I C S . C O M</t>
  </si>
  <si>
    <t>Value</t>
  </si>
  <si>
    <t>Date</t>
  </si>
  <si>
    <t>HDFC BANK</t>
  </si>
  <si>
    <t>SBI BANK</t>
  </si>
  <si>
    <t>ICICI BANK</t>
  </si>
  <si>
    <t>INDUSIND BANK</t>
  </si>
  <si>
    <t>AXIS BANK</t>
  </si>
  <si>
    <t xml:space="preserve">SBI BANK </t>
  </si>
  <si>
    <t xml:space="preserve">ICICI BANK </t>
  </si>
  <si>
    <t xml:space="preserve">INDUSIND BANK </t>
  </si>
  <si>
    <t xml:space="preserve">AXIS BANK </t>
  </si>
  <si>
    <t>PORTFOLIO</t>
  </si>
  <si>
    <t>Investment</t>
  </si>
  <si>
    <t>Equity Investment</t>
  </si>
  <si>
    <t>EQ SHOCKS</t>
  </si>
  <si>
    <t>EQ PRICES</t>
  </si>
  <si>
    <t>Horizon</t>
  </si>
  <si>
    <t>Shock Type [Input, Absolute = 0 | Proportional = 1]</t>
  </si>
  <si>
    <t>Proportional [Input, Discrete = 0 | Continuous = 1]</t>
  </si>
  <si>
    <t>Risk Measurement Models: Value at Risk | Historical Simulation Model | Equities</t>
  </si>
  <si>
    <t>1 day</t>
  </si>
  <si>
    <t>Prices</t>
  </si>
  <si>
    <t>VaR</t>
  </si>
  <si>
    <t>Relative VaR</t>
  </si>
  <si>
    <t>Absolute VaR</t>
  </si>
  <si>
    <t>Diversication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</si>
</sst>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.0000_);_(* \(#,##0.0000\);_(* &quot;-&quot;??_);_(@_)"/>
    <numFmt numFmtId="166" formatCode="dd/mm/yyyy;@"/>
    <numFmt numFmtId="168" formatCode="_(* #,##0.00000_);_(* \(#,##0.00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165" fontId="0" fillId="0" borderId="0" xfId="1" applyNumberFormat="1" applyFont="1"/>
    <xf numFmtId="164" fontId="0" fillId="0" borderId="0" xfId="1" applyFont="1"/>
    <xf numFmtId="166" fontId="0" fillId="0" borderId="0" xfId="0" applyNumberForma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165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9" fontId="0" fillId="0" borderId="0" xfId="0" applyNumberFormat="1"/>
    <xf numFmtId="43" fontId="0" fillId="0" borderId="0" xfId="0" applyNumberFormat="1"/>
    <xf numFmtId="168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8EA9-75A0-9F4A-860A-ACEE40023F1D}">
  <dimension ref="A1:I15"/>
  <sheetViews>
    <sheetView showGridLines="0" tabSelected="1" topLeftCell="D9" zoomScale="125" zoomScaleNormal="125" workbookViewId="0">
      <selection activeCell="H21" sqref="H21"/>
    </sheetView>
  </sheetViews>
  <sheetFormatPr defaultColWidth="11" defaultRowHeight="15.75" x14ac:dyDescent="0.25"/>
  <cols>
    <col min="1" max="1" width="3.375" customWidth="1"/>
    <col min="2" max="2" width="42" customWidth="1"/>
    <col min="3" max="3" width="11" customWidth="1"/>
    <col min="4" max="9" width="19.375" customWidth="1"/>
    <col min="10" max="10" width="3.375" customWidth="1"/>
  </cols>
  <sheetData>
    <row r="1" spans="1:9" x14ac:dyDescent="0.25">
      <c r="A1" s="12" t="s">
        <v>0</v>
      </c>
    </row>
    <row r="2" spans="1:9" ht="21" x14ac:dyDescent="0.35">
      <c r="B2" s="13" t="s">
        <v>20</v>
      </c>
      <c r="C2" s="13"/>
      <c r="D2" s="13"/>
      <c r="E2" s="13"/>
      <c r="F2" s="13"/>
      <c r="G2" s="13"/>
      <c r="H2" s="13"/>
      <c r="I2" s="13"/>
    </row>
    <row r="3" spans="1:9" x14ac:dyDescent="0.25">
      <c r="B3" s="11"/>
      <c r="C3" s="11"/>
      <c r="D3" s="11"/>
      <c r="E3" s="11"/>
      <c r="F3" s="11"/>
      <c r="G3" s="11"/>
      <c r="H3" s="11"/>
      <c r="I3" s="11"/>
    </row>
    <row r="4" spans="1:9" x14ac:dyDescent="0.25">
      <c r="B4" s="7" t="s">
        <v>14</v>
      </c>
      <c r="C4" s="6" t="s">
        <v>1</v>
      </c>
      <c r="D4" s="6" t="s">
        <v>3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</row>
    <row r="5" spans="1:9" x14ac:dyDescent="0.25">
      <c r="B5" t="s">
        <v>18</v>
      </c>
      <c r="C5" s="1">
        <v>1</v>
      </c>
      <c r="D5" s="10"/>
      <c r="E5" s="10"/>
      <c r="F5" s="10"/>
      <c r="G5" s="10"/>
      <c r="H5" s="10"/>
      <c r="I5" s="10"/>
    </row>
    <row r="6" spans="1:9" x14ac:dyDescent="0.25">
      <c r="B6" t="s">
        <v>19</v>
      </c>
      <c r="C6" s="1">
        <v>0</v>
      </c>
      <c r="D6" s="10"/>
      <c r="E6" s="10"/>
      <c r="F6" s="10"/>
      <c r="G6" s="10"/>
      <c r="H6" s="10"/>
      <c r="I6" s="10"/>
    </row>
    <row r="8" spans="1:9" x14ac:dyDescent="0.25">
      <c r="B8" t="s">
        <v>17</v>
      </c>
      <c r="C8" s="16" t="s">
        <v>21</v>
      </c>
    </row>
    <row r="9" spans="1:9" x14ac:dyDescent="0.25">
      <c r="B9" t="s">
        <v>22</v>
      </c>
      <c r="D9" s="4">
        <f>'Market Data - EQ'!B3</f>
        <v>1272.099976</v>
      </c>
      <c r="E9" s="4">
        <f>'Market Data - EQ'!C3</f>
        <v>333.75</v>
      </c>
      <c r="F9" s="4">
        <f>'Market Data - EQ'!D3</f>
        <v>538.90002400000003</v>
      </c>
      <c r="G9" s="4">
        <f>'Market Data - EQ'!E3</f>
        <v>1510</v>
      </c>
      <c r="H9" s="4">
        <f>'Market Data - EQ'!F3</f>
        <v>754.09997599999997</v>
      </c>
      <c r="I9" s="20">
        <f>AVERAGE(D9:H9)</f>
        <v>881.76999519999993</v>
      </c>
    </row>
    <row r="10" spans="1:9" x14ac:dyDescent="0.25">
      <c r="B10" t="s">
        <v>13</v>
      </c>
      <c r="D10" s="4">
        <v>5000000</v>
      </c>
      <c r="E10" s="4">
        <v>5000000</v>
      </c>
      <c r="F10" s="4">
        <v>5000000</v>
      </c>
      <c r="G10" s="4">
        <v>5000000</v>
      </c>
      <c r="H10" s="4">
        <v>5000000</v>
      </c>
      <c r="I10" s="4">
        <v>5000000</v>
      </c>
    </row>
    <row r="12" spans="1:9" x14ac:dyDescent="0.25">
      <c r="B12" t="s">
        <v>23</v>
      </c>
      <c r="C12" s="17">
        <v>0.99</v>
      </c>
    </row>
    <row r="13" spans="1:9" x14ac:dyDescent="0.25">
      <c r="B13" t="s">
        <v>24</v>
      </c>
      <c r="D13" s="19">
        <f>IF($C$5=0,_xlfn.PERCENTILE.INC('Market Data - EQ'!G3:G738,1-$C$12)/D9,_xlfn.PERCENTILE.INC('Market Data - EQ'!G3:G738,1-$C$12))</f>
        <v>-2.4649100380519786E-2</v>
      </c>
      <c r="E13" s="4">
        <f>IF($C$5=0,_xlfn.PERCENTILE.INC('Market Data - EQ'!H3:H738,1-$C$12)/E9,_xlfn.PERCENTILE.INC('Market Data - EQ'!H3:H738,1-$C$12))</f>
        <v>-4.7177711553972011E-2</v>
      </c>
      <c r="F13" s="4">
        <f>IF($C$5=0,_xlfn.PERCENTILE.INC('Market Data - EQ'!I3:I738,1-$C$12)/F9,_xlfn.PERCENTILE.INC('Market Data - EQ'!I3:I738,1-$C$12))</f>
        <v>-3.527248373301356E-2</v>
      </c>
      <c r="G13" s="4">
        <f>IF($C$5=0,_xlfn.PERCENTILE.INC('Market Data - EQ'!J3:J738,1-$C$12)/G9,_xlfn.PERCENTILE.INC('Market Data - EQ'!J3:J738,1-$C$12))</f>
        <v>-5.1063557004418822E-2</v>
      </c>
      <c r="H13" s="4">
        <f>IF($C$5=0,_xlfn.PERCENTILE.INC('Market Data - EQ'!K3:K738,1-$C$12)/H9,_xlfn.PERCENTILE.INC('Market Data - EQ'!K3:K738,1-$C$12))</f>
        <v>-3.6259930762101759E-2</v>
      </c>
      <c r="I13" s="4">
        <f>IF($C$5=0,_xlfn.PERCENTILE.INC('Market Data - EQ'!L3:L738,1-$C$12)/I9,_xlfn.PERCENTILE.INC('Market Data - EQ'!L3:L738,1-$C$12))</f>
        <v>-2.7997486986752911E-2</v>
      </c>
    </row>
    <row r="14" spans="1:9" x14ac:dyDescent="0.25">
      <c r="B14" t="s">
        <v>25</v>
      </c>
      <c r="D14" s="4">
        <f>D10*D13</f>
        <v>-123245.50190259893</v>
      </c>
      <c r="E14" s="4">
        <f t="shared" ref="E14:I14" si="0">E10*E13</f>
        <v>-235888.55776986005</v>
      </c>
      <c r="F14" s="4">
        <f t="shared" si="0"/>
        <v>-176362.41866506779</v>
      </c>
      <c r="G14" s="4">
        <f t="shared" si="0"/>
        <v>-255317.78502209412</v>
      </c>
      <c r="H14" s="4">
        <f t="shared" si="0"/>
        <v>-181299.65381050881</v>
      </c>
      <c r="I14" s="4">
        <f t="shared" si="0"/>
        <v>-139987.43493376454</v>
      </c>
    </row>
    <row r="15" spans="1:9" x14ac:dyDescent="0.25">
      <c r="B15" t="s">
        <v>26</v>
      </c>
      <c r="D15" s="18">
        <f>$I$14-D14</f>
        <v>-16741.933031165609</v>
      </c>
      <c r="E15" s="18">
        <f t="shared" ref="E15:H15" si="1">$I$14-E14</f>
        <v>95901.122836095514</v>
      </c>
      <c r="F15" s="18">
        <f t="shared" si="1"/>
        <v>36374.983731303248</v>
      </c>
      <c r="G15" s="18">
        <f t="shared" si="1"/>
        <v>115330.35008832958</v>
      </c>
      <c r="H15" s="18">
        <f t="shared" si="1"/>
        <v>41312.218876744271</v>
      </c>
    </row>
  </sheetData>
  <mergeCells count="1"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CFFE-D3DF-7444-954A-F0D503E63ADF}">
  <dimension ref="A1:M739"/>
  <sheetViews>
    <sheetView showGridLines="0" topLeftCell="A722" zoomScale="125" zoomScaleNormal="125" workbookViewId="0">
      <selection activeCell="L8" sqref="L8"/>
    </sheetView>
  </sheetViews>
  <sheetFormatPr defaultColWidth="11" defaultRowHeight="15.75" x14ac:dyDescent="0.25"/>
  <cols>
    <col min="1" max="1" width="12.875" customWidth="1"/>
    <col min="2" max="2" width="11.5" customWidth="1"/>
    <col min="5" max="5" width="17.875" customWidth="1"/>
    <col min="7" max="7" width="11.5" customWidth="1"/>
    <col min="10" max="10" width="17.875" customWidth="1"/>
    <col min="12" max="12" width="13" customWidth="1"/>
  </cols>
  <sheetData>
    <row r="1" spans="1:13" x14ac:dyDescent="0.25">
      <c r="A1" s="15" t="s">
        <v>2</v>
      </c>
      <c r="B1" s="14" t="s">
        <v>16</v>
      </c>
      <c r="C1" s="14"/>
      <c r="D1" s="14"/>
      <c r="E1" s="14"/>
      <c r="F1" s="14"/>
      <c r="G1" s="14" t="s">
        <v>15</v>
      </c>
      <c r="H1" s="14"/>
      <c r="I1" s="14"/>
      <c r="J1" s="14"/>
      <c r="K1" s="14"/>
      <c r="L1" s="2"/>
    </row>
    <row r="2" spans="1:13" ht="18" customHeight="1" x14ac:dyDescent="0.25">
      <c r="A2" s="15"/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3</v>
      </c>
      <c r="H2" s="9" t="s">
        <v>4</v>
      </c>
      <c r="I2" s="9" t="s">
        <v>5</v>
      </c>
      <c r="J2" s="9" t="s">
        <v>6</v>
      </c>
      <c r="K2" s="9" t="s">
        <v>7</v>
      </c>
      <c r="L2" s="9" t="s">
        <v>12</v>
      </c>
    </row>
    <row r="3" spans="1:13" x14ac:dyDescent="0.25">
      <c r="A3" s="5">
        <v>43830</v>
      </c>
      <c r="B3" s="4">
        <v>1272.099976</v>
      </c>
      <c r="C3" s="4">
        <v>333.75</v>
      </c>
      <c r="D3" s="4">
        <v>538.90002400000003</v>
      </c>
      <c r="E3" s="4">
        <v>1510</v>
      </c>
      <c r="F3" s="4">
        <v>754.09997599999997</v>
      </c>
      <c r="G3" s="3">
        <f>IF('Value at Risk'!$C$5=0,'Market Data - EQ'!B3-'Market Data - EQ'!B4,IF('Value at Risk'!$C$6=0,('Market Data - EQ'!B3-'Market Data - EQ'!B4)/'Market Data - EQ'!B4,LN('Market Data - EQ'!B3/'Market Data - EQ'!B4)))</f>
        <v>-7.8384337338670597E-3</v>
      </c>
      <c r="H3" s="3">
        <f>IF('Value at Risk'!$C$5=0,'Market Data - EQ'!C3-'Market Data - EQ'!C4,IF('Value at Risk'!$C$6=0,('Market Data - EQ'!C3-'Market Data - EQ'!C4)/'Market Data - EQ'!C4,LN('Market Data - EQ'!C3/'Market Data - EQ'!C4)))</f>
        <v>-1.9437619965985778E-3</v>
      </c>
      <c r="I3" s="3">
        <f>IF('Value at Risk'!$C$5=0,'Market Data - EQ'!D3-'Market Data - EQ'!D4,IF('Value at Risk'!$C$6=0,('Market Data - EQ'!D3-'Market Data - EQ'!D4)/'Market Data - EQ'!D4,LN('Market Data - EQ'!D3/'Market Data - EQ'!D4)))</f>
        <v>-9.2839192730819996E-3</v>
      </c>
      <c r="J3" s="3">
        <f>IF('Value at Risk'!$C$5=0,'Market Data - EQ'!E3-'Market Data - EQ'!E4,IF('Value at Risk'!$C$6=0,('Market Data - EQ'!E3-'Market Data - EQ'!E4)/'Market Data - EQ'!E4,LN('Market Data - EQ'!E3/'Market Data - EQ'!E4)))</f>
        <v>-1.3974156761538636E-2</v>
      </c>
      <c r="K3" s="3">
        <f>IF('Value at Risk'!$C$5=0,'Market Data - EQ'!F3-'Market Data - EQ'!F4,IF('Value at Risk'!$C$6=0,('Market Data - EQ'!F3-'Market Data - EQ'!F4)/'Market Data - EQ'!F4,LN('Market Data - EQ'!F3/'Market Data - EQ'!F4)))</f>
        <v>0</v>
      </c>
      <c r="L3" s="8">
        <f>AVERAGE(G3:K3)</f>
        <v>-6.6080543530172538E-3</v>
      </c>
      <c r="M3" s="3"/>
    </row>
    <row r="4" spans="1:13" x14ac:dyDescent="0.25">
      <c r="A4" s="5">
        <v>43829</v>
      </c>
      <c r="B4" s="4">
        <v>1282.150024</v>
      </c>
      <c r="C4" s="4">
        <v>334.39999399999999</v>
      </c>
      <c r="D4" s="4">
        <v>543.95001200000002</v>
      </c>
      <c r="E4" s="4">
        <v>1531.400024</v>
      </c>
      <c r="F4" s="4">
        <v>754.09997599999997</v>
      </c>
      <c r="G4" s="3">
        <f>IF('Value at Risk'!$C$5=0,'Market Data - EQ'!B4-'Market Data - EQ'!B5,IF('Value at Risk'!$C$6=0,('Market Data - EQ'!B4-'Market Data - EQ'!B5)/'Market Data - EQ'!B5,LN('Market Data - EQ'!B4/'Market Data - EQ'!B5)))</f>
        <v>5.6078619607843379E-3</v>
      </c>
      <c r="H4" s="3">
        <f>IF('Value at Risk'!$C$5=0,'Market Data - EQ'!C4-'Market Data - EQ'!C5,IF('Value at Risk'!$C$6=0,('Market Data - EQ'!C4-'Market Data - EQ'!C5)/'Market Data - EQ'!C5,LN('Market Data - EQ'!C4/'Market Data - EQ'!C5)))</f>
        <v>-8.4507220163083999E-3</v>
      </c>
      <c r="I4" s="3">
        <f>IF('Value at Risk'!$C$5=0,'Market Data - EQ'!D4-'Market Data - EQ'!D5,IF('Value at Risk'!$C$6=0,('Market Data - EQ'!D4-'Market Data - EQ'!D5)/'Market Data - EQ'!D5,LN('Market Data - EQ'!D4/'Market Data - EQ'!D5)))</f>
        <v>-9.9199340406290453E-3</v>
      </c>
      <c r="J4" s="3">
        <f>IF('Value at Risk'!$C$5=0,'Market Data - EQ'!E4-'Market Data - EQ'!E5,IF('Value at Risk'!$C$6=0,('Market Data - EQ'!E4-'Market Data - EQ'!E5)/'Market Data - EQ'!E5,LN('Market Data - EQ'!E4/'Market Data - EQ'!E5)))</f>
        <v>4.2625745279678742E-3</v>
      </c>
      <c r="K4" s="3">
        <f>IF('Value at Risk'!$C$5=0,'Market Data - EQ'!F4-'Market Data - EQ'!F5,IF('Value at Risk'!$C$6=0,('Market Data - EQ'!F4-'Market Data - EQ'!F5)/'Market Data - EQ'!F5,LN('Market Data - EQ'!F4/'Market Data - EQ'!F5)))</f>
        <v>-7.9590183634593425E-3</v>
      </c>
      <c r="L4" s="8">
        <f t="shared" ref="L4:L67" si="0">AVERAGE(G4:K4)</f>
        <v>-3.2918475863289152E-3</v>
      </c>
    </row>
    <row r="5" spans="1:13" x14ac:dyDescent="0.25">
      <c r="A5" s="5">
        <v>43826</v>
      </c>
      <c r="B5" s="4">
        <v>1275</v>
      </c>
      <c r="C5" s="4">
        <v>337.25</v>
      </c>
      <c r="D5" s="4">
        <v>549.40002400000003</v>
      </c>
      <c r="E5" s="4">
        <v>1524.900024</v>
      </c>
      <c r="F5" s="4">
        <v>760.15002400000003</v>
      </c>
      <c r="G5" s="3">
        <f>IF('Value at Risk'!$C$5=0,'Market Data - EQ'!B5-'Market Data - EQ'!B6,IF('Value at Risk'!$C$6=0,('Market Data - EQ'!B5-'Market Data - EQ'!B6)/'Market Data - EQ'!B6,LN('Market Data - EQ'!B5/'Market Data - EQ'!B6)))</f>
        <v>3.5814468696059197E-3</v>
      </c>
      <c r="H5" s="3">
        <f>IF('Value at Risk'!$C$5=0,'Market Data - EQ'!C5-'Market Data - EQ'!C6,IF('Value at Risk'!$C$6=0,('Market Data - EQ'!C5-'Market Data - EQ'!C6)/'Market Data - EQ'!C6,LN('Market Data - EQ'!C5/'Market Data - EQ'!C6)))</f>
        <v>2.2434421298752356E-2</v>
      </c>
      <c r="I5" s="3">
        <f>IF('Value at Risk'!$C$5=0,'Market Data - EQ'!D5-'Market Data - EQ'!D6,IF('Value at Risk'!$C$6=0,('Market Data - EQ'!D5-'Market Data - EQ'!D6)/'Market Data - EQ'!D6,LN('Market Data - EQ'!D5/'Market Data - EQ'!D6)))</f>
        <v>1.9768025986078942E-2</v>
      </c>
      <c r="J5" s="3">
        <f>IF('Value at Risk'!$C$5=0,'Market Data - EQ'!E5-'Market Data - EQ'!E6,IF('Value at Risk'!$C$6=0,('Market Data - EQ'!E5-'Market Data - EQ'!E6)/'Market Data - EQ'!E6,LN('Market Data - EQ'!E5/'Market Data - EQ'!E6)))</f>
        <v>6.2689717893260376E-3</v>
      </c>
      <c r="K5" s="3">
        <f>IF('Value at Risk'!$C$5=0,'Market Data - EQ'!F5-'Market Data - EQ'!F6,IF('Value at Risk'!$C$6=0,('Market Data - EQ'!F5-'Market Data - EQ'!F6)/'Market Data - EQ'!F6,LN('Market Data - EQ'!F5/'Market Data - EQ'!F6)))</f>
        <v>3.2111369993211174E-2</v>
      </c>
      <c r="L5" s="8">
        <f t="shared" si="0"/>
        <v>1.6832847187394886E-2</v>
      </c>
    </row>
    <row r="6" spans="1:13" x14ac:dyDescent="0.25">
      <c r="A6" s="5">
        <v>43825</v>
      </c>
      <c r="B6" s="4">
        <v>1270.4499510000001</v>
      </c>
      <c r="C6" s="4">
        <v>329.85000600000001</v>
      </c>
      <c r="D6" s="4">
        <v>538.75</v>
      </c>
      <c r="E6" s="4">
        <v>1515.400024</v>
      </c>
      <c r="F6" s="4">
        <v>736.5</v>
      </c>
      <c r="G6" s="3">
        <f>IF('Value at Risk'!$C$5=0,'Market Data - EQ'!B6-'Market Data - EQ'!B7,IF('Value at Risk'!$C$6=0,('Market Data - EQ'!B6-'Market Data - EQ'!B7)/'Market Data - EQ'!B7,LN('Market Data - EQ'!B6/'Market Data - EQ'!B7)))</f>
        <v>-1.4505738394959666E-2</v>
      </c>
      <c r="H6" s="3">
        <f>IF('Value at Risk'!$C$5=0,'Market Data - EQ'!C6-'Market Data - EQ'!C7,IF('Value at Risk'!$C$6=0,('Market Data - EQ'!C6-'Market Data - EQ'!C7)/'Market Data - EQ'!C7,LN('Market Data - EQ'!C6/'Market Data - EQ'!C7)))</f>
        <v>-4.8272920261653437E-3</v>
      </c>
      <c r="I6" s="3">
        <f>IF('Value at Risk'!$C$5=0,'Market Data - EQ'!D6-'Market Data - EQ'!D7,IF('Value at Risk'!$C$6=0,('Market Data - EQ'!D6-'Market Data - EQ'!D7)/'Market Data - EQ'!D7,LN('Market Data - EQ'!D6/'Market Data - EQ'!D7)))</f>
        <v>-4.3429608283700417E-3</v>
      </c>
      <c r="J6" s="3">
        <f>IF('Value at Risk'!$C$5=0,'Market Data - EQ'!E6-'Market Data - EQ'!E7,IF('Value at Risk'!$C$6=0,('Market Data - EQ'!E6-'Market Data - EQ'!E7)/'Market Data - EQ'!E7,LN('Market Data - EQ'!E6/'Market Data - EQ'!E7)))</f>
        <v>-4.2382311671435996E-3</v>
      </c>
      <c r="K6" s="3">
        <f>IF('Value at Risk'!$C$5=0,'Market Data - EQ'!F6-'Market Data - EQ'!F7,IF('Value at Risk'!$C$6=0,('Market Data - EQ'!F6-'Market Data - EQ'!F7)/'Market Data - EQ'!F7,LN('Market Data - EQ'!F6/'Market Data - EQ'!F7)))</f>
        <v>-5.6032186127358179E-3</v>
      </c>
      <c r="L6" s="8">
        <f t="shared" si="0"/>
        <v>-6.703488205874894E-3</v>
      </c>
    </row>
    <row r="7" spans="1:13" x14ac:dyDescent="0.25">
      <c r="A7" s="5">
        <v>43823</v>
      </c>
      <c r="B7" s="4">
        <v>1289.150024</v>
      </c>
      <c r="C7" s="4">
        <v>331.45001200000002</v>
      </c>
      <c r="D7" s="4">
        <v>541.09997599999997</v>
      </c>
      <c r="E7" s="4">
        <v>1521.849976</v>
      </c>
      <c r="F7" s="4">
        <v>740.65002400000003</v>
      </c>
      <c r="G7" s="3">
        <f>IF('Value at Risk'!$C$5=0,'Market Data - EQ'!B7-'Market Data - EQ'!B8,IF('Value at Risk'!$C$6=0,('Market Data - EQ'!B7-'Market Data - EQ'!B8)/'Market Data - EQ'!B8,LN('Market Data - EQ'!B7/'Market Data - EQ'!B8)))</f>
        <v>-1.0173525611052968E-2</v>
      </c>
      <c r="H7" s="3">
        <f>IF('Value at Risk'!$C$5=0,'Market Data - EQ'!C7-'Market Data - EQ'!C8,IF('Value at Risk'!$C$6=0,('Market Data - EQ'!C7-'Market Data - EQ'!C8)/'Market Data - EQ'!C8,LN('Market Data - EQ'!C7/'Market Data - EQ'!C8)))</f>
        <v>-2.8579483067017663E-3</v>
      </c>
      <c r="I7" s="3">
        <f>IF('Value at Risk'!$C$5=0,'Market Data - EQ'!D7-'Market Data - EQ'!D8,IF('Value at Risk'!$C$6=0,('Market Data - EQ'!D7-'Market Data - EQ'!D8)/'Market Data - EQ'!D8,LN('Market Data - EQ'!D7/'Market Data - EQ'!D8)))</f>
        <v>-3.6950305640874164E-4</v>
      </c>
      <c r="J7" s="3">
        <f>IF('Value at Risk'!$C$5=0,'Market Data - EQ'!E7-'Market Data - EQ'!E8,IF('Value at Risk'!$C$6=0,('Market Data - EQ'!E7-'Market Data - EQ'!E8)/'Market Data - EQ'!E8,LN('Market Data - EQ'!E7/'Market Data - EQ'!E8)))</f>
        <v>1.7075403437348965E-2</v>
      </c>
      <c r="K7" s="3">
        <f>IF('Value at Risk'!$C$5=0,'Market Data - EQ'!F7-'Market Data - EQ'!F8,IF('Value at Risk'!$C$6=0,('Market Data - EQ'!F7-'Market Data - EQ'!F8)/'Market Data - EQ'!F8,LN('Market Data - EQ'!F7/'Market Data - EQ'!F8)))</f>
        <v>-3.3640582914116948E-3</v>
      </c>
      <c r="L7" s="8">
        <f t="shared" si="0"/>
        <v>6.2073634354758636E-5</v>
      </c>
    </row>
    <row r="8" spans="1:13" x14ac:dyDescent="0.25">
      <c r="A8" s="5">
        <v>43822</v>
      </c>
      <c r="B8" s="4">
        <v>1302.400024</v>
      </c>
      <c r="C8" s="4">
        <v>332.39999399999999</v>
      </c>
      <c r="D8" s="4">
        <v>541.29998799999998</v>
      </c>
      <c r="E8" s="4">
        <v>1496.3000489999999</v>
      </c>
      <c r="F8" s="4">
        <v>743.15002400000003</v>
      </c>
      <c r="G8" s="3">
        <f>IF('Value at Risk'!$C$5=0,'Market Data - EQ'!B8-'Market Data - EQ'!B9,IF('Value at Risk'!$C$6=0,('Market Data - EQ'!B8-'Market Data - EQ'!B9)/'Market Data - EQ'!B9,LN('Market Data - EQ'!B8/'Market Data - EQ'!B9)))</f>
        <v>4.395830350424664E-3</v>
      </c>
      <c r="H8" s="3">
        <f>IF('Value at Risk'!$C$5=0,'Market Data - EQ'!C8-'Market Data - EQ'!C9,IF('Value at Risk'!$C$6=0,('Market Data - EQ'!C8-'Market Data - EQ'!C9)/'Market Data - EQ'!C9,LN('Market Data - EQ'!C8/'Market Data - EQ'!C9)))</f>
        <v>-1.613145450114337E-2</v>
      </c>
      <c r="I8" s="3">
        <f>IF('Value at Risk'!$C$5=0,'Market Data - EQ'!D8-'Market Data - EQ'!D9,IF('Value at Risk'!$C$6=0,('Market Data - EQ'!D8-'Market Data - EQ'!D9)/'Market Data - EQ'!D9,LN('Market Data - EQ'!D8/'Market Data - EQ'!D9)))</f>
        <v>-8.789577386833624E-3</v>
      </c>
      <c r="J8" s="3">
        <f>IF('Value at Risk'!$C$5=0,'Market Data - EQ'!E8-'Market Data - EQ'!E9,IF('Value at Risk'!$C$6=0,('Market Data - EQ'!E8-'Market Data - EQ'!E9)/'Market Data - EQ'!E9,LN('Market Data - EQ'!E8/'Market Data - EQ'!E9)))</f>
        <v>5.6118137538081004E-3</v>
      </c>
      <c r="K8" s="3">
        <f>IF('Value at Risk'!$C$5=0,'Market Data - EQ'!F8-'Market Data - EQ'!F9,IF('Value at Risk'!$C$6=0,('Market Data - EQ'!F8-'Market Data - EQ'!F9)/'Market Data - EQ'!F9,LN('Market Data - EQ'!F8/'Market Data - EQ'!F9)))</f>
        <v>4.4604286099213996E-3</v>
      </c>
      <c r="L8" s="8">
        <f t="shared" si="0"/>
        <v>-2.0905918347645658E-3</v>
      </c>
    </row>
    <row r="9" spans="1:13" x14ac:dyDescent="0.25">
      <c r="A9" s="5">
        <v>43819</v>
      </c>
      <c r="B9" s="4">
        <v>1296.6999510000001</v>
      </c>
      <c r="C9" s="4">
        <v>337.85000600000001</v>
      </c>
      <c r="D9" s="4">
        <v>546.09997599999997</v>
      </c>
      <c r="E9" s="4">
        <v>1487.9499510000001</v>
      </c>
      <c r="F9" s="4">
        <v>739.84997599999997</v>
      </c>
      <c r="G9" s="3">
        <f>IF('Value at Risk'!$C$5=0,'Market Data - EQ'!B9-'Market Data - EQ'!B10,IF('Value at Risk'!$C$6=0,('Market Data - EQ'!B9-'Market Data - EQ'!B10)/'Market Data - EQ'!B10,LN('Market Data - EQ'!B9/'Market Data - EQ'!B10)))</f>
        <v>6.1296568122648411E-3</v>
      </c>
      <c r="H9" s="3">
        <f>IF('Value at Risk'!$C$5=0,'Market Data - EQ'!C9-'Market Data - EQ'!C10,IF('Value at Risk'!$C$6=0,('Market Data - EQ'!C9-'Market Data - EQ'!C10)/'Market Data - EQ'!C10,LN('Market Data - EQ'!C9/'Market Data - EQ'!C10)))</f>
        <v>2.95596897070186E-2</v>
      </c>
      <c r="I9" s="3">
        <f>IF('Value at Risk'!$C$5=0,'Market Data - EQ'!D9-'Market Data - EQ'!D10,IF('Value at Risk'!$C$6=0,('Market Data - EQ'!D9-'Market Data - EQ'!D10)/'Market Data - EQ'!D10,LN('Market Data - EQ'!D9/'Market Data - EQ'!D10)))</f>
        <v>1.0921813900292831E-2</v>
      </c>
      <c r="J9" s="3">
        <f>IF('Value at Risk'!$C$5=0,'Market Data - EQ'!E9-'Market Data - EQ'!E10,IF('Value at Risk'!$C$6=0,('Market Data - EQ'!E9-'Market Data - EQ'!E10)/'Market Data - EQ'!E10,LN('Market Data - EQ'!E9/'Market Data - EQ'!E10)))</f>
        <v>-1.3088616474845932E-3</v>
      </c>
      <c r="K9" s="3">
        <f>IF('Value at Risk'!$C$5=0,'Market Data - EQ'!F9-'Market Data - EQ'!F10,IF('Value at Risk'!$C$6=0,('Market Data - EQ'!F9-'Market Data - EQ'!F10)/'Market Data - EQ'!F10,LN('Market Data - EQ'!F9/'Market Data - EQ'!F10)))</f>
        <v>-3.6361349991699348E-3</v>
      </c>
      <c r="L9" s="8">
        <f t="shared" si="0"/>
        <v>8.3332327545843476E-3</v>
      </c>
    </row>
    <row r="10" spans="1:13" x14ac:dyDescent="0.25">
      <c r="A10" s="5">
        <v>43818</v>
      </c>
      <c r="B10" s="4">
        <v>1288.8000489999999</v>
      </c>
      <c r="C10" s="4">
        <v>328.14999399999999</v>
      </c>
      <c r="D10" s="4">
        <v>540.20001200000002</v>
      </c>
      <c r="E10" s="4">
        <v>1489.900024</v>
      </c>
      <c r="F10" s="4">
        <v>742.54998799999998</v>
      </c>
      <c r="G10" s="3">
        <f>IF('Value at Risk'!$C$5=0,'Market Data - EQ'!B10-'Market Data - EQ'!B11,IF('Value at Risk'!$C$6=0,('Market Data - EQ'!B10-'Market Data - EQ'!B11)/'Market Data - EQ'!B11,LN('Market Data - EQ'!B10/'Market Data - EQ'!B11)))</f>
        <v>-2.7468774449066306E-3</v>
      </c>
      <c r="H10" s="3">
        <f>IF('Value at Risk'!$C$5=0,'Market Data - EQ'!C10-'Market Data - EQ'!C11,IF('Value at Risk'!$C$6=0,('Market Data - EQ'!C10-'Market Data - EQ'!C11)/'Market Data - EQ'!C11,LN('Market Data - EQ'!C10/'Market Data - EQ'!C11)))</f>
        <v>3.670230787451316E-3</v>
      </c>
      <c r="I10" s="3">
        <f>IF('Value at Risk'!$C$5=0,'Market Data - EQ'!D10-'Market Data - EQ'!D11,IF('Value at Risk'!$C$6=0,('Market Data - EQ'!D10-'Market Data - EQ'!D11)/'Market Data - EQ'!D11,LN('Market Data - EQ'!D10/'Market Data - EQ'!D11)))</f>
        <v>-2.2164978699742636E-3</v>
      </c>
      <c r="J10" s="3">
        <f>IF('Value at Risk'!$C$5=0,'Market Data - EQ'!E10-'Market Data - EQ'!E11,IF('Value at Risk'!$C$6=0,('Market Data - EQ'!E10-'Market Data - EQ'!E11)/'Market Data - EQ'!E11,LN('Market Data - EQ'!E10/'Market Data - EQ'!E11)))</f>
        <v>-7.2628095976294271E-3</v>
      </c>
      <c r="K10" s="3">
        <f>IF('Value at Risk'!$C$5=0,'Market Data - EQ'!F10-'Market Data - EQ'!F11,IF('Value at Risk'!$C$6=0,('Market Data - EQ'!F10-'Market Data - EQ'!F11)/'Market Data - EQ'!F11,LN('Market Data - EQ'!F10/'Market Data - EQ'!F11)))</f>
        <v>9.4360318480352047E-4</v>
      </c>
      <c r="L10" s="8">
        <f t="shared" si="0"/>
        <v>-1.522470188051097E-3</v>
      </c>
    </row>
    <row r="11" spans="1:13" x14ac:dyDescent="0.25">
      <c r="A11" s="5">
        <v>43817</v>
      </c>
      <c r="B11" s="4">
        <v>1292.349976</v>
      </c>
      <c r="C11" s="4">
        <v>326.95001200000002</v>
      </c>
      <c r="D11" s="4">
        <v>541.40002400000003</v>
      </c>
      <c r="E11" s="4">
        <v>1500.8000489999999</v>
      </c>
      <c r="F11" s="4">
        <v>741.84997599999997</v>
      </c>
      <c r="G11" s="3">
        <f>IF('Value at Risk'!$C$5=0,'Market Data - EQ'!B11-'Market Data - EQ'!B12,IF('Value at Risk'!$C$6=0,('Market Data - EQ'!B11-'Market Data - EQ'!B12)/'Market Data - EQ'!B12,LN('Market Data - EQ'!B11/'Market Data - EQ'!B12)))</f>
        <v>1.6717803792956724E-2</v>
      </c>
      <c r="H11" s="3">
        <f>IF('Value at Risk'!$C$5=0,'Market Data - EQ'!C11-'Market Data - EQ'!C12,IF('Value at Risk'!$C$6=0,('Market Data - EQ'!C11-'Market Data - EQ'!C12)/'Market Data - EQ'!C12,LN('Market Data - EQ'!C11/'Market Data - EQ'!C12)))</f>
        <v>-1.7873181457612092E-2</v>
      </c>
      <c r="I11" s="3">
        <f>IF('Value at Risk'!$C$5=0,'Market Data - EQ'!D11-'Market Data - EQ'!D12,IF('Value at Risk'!$C$6=0,('Market Data - EQ'!D11-'Market Data - EQ'!D12)/'Market Data - EQ'!D12,LN('Market Data - EQ'!D11/'Market Data - EQ'!D12)))</f>
        <v>4.619790980550709E-4</v>
      </c>
      <c r="J11" s="3">
        <f>IF('Value at Risk'!$C$5=0,'Market Data - EQ'!E11-'Market Data - EQ'!E12,IF('Value at Risk'!$C$6=0,('Market Data - EQ'!E11-'Market Data - EQ'!E12)/'Market Data - EQ'!E12,LN('Market Data - EQ'!E11/'Market Data - EQ'!E12)))</f>
        <v>5.3927643610785095E-3</v>
      </c>
      <c r="K11" s="3">
        <f>IF('Value at Risk'!$C$5=0,'Market Data - EQ'!F11-'Market Data - EQ'!F12,IF('Value at Risk'!$C$6=0,('Market Data - EQ'!F11-'Market Data - EQ'!F12)/'Market Data - EQ'!F12,LN('Market Data - EQ'!F11/'Market Data - EQ'!F12)))</f>
        <v>-5.0962889796675719E-3</v>
      </c>
      <c r="L11" s="8">
        <f t="shared" si="0"/>
        <v>-7.9384637037871805E-5</v>
      </c>
    </row>
    <row r="12" spans="1:13" x14ac:dyDescent="0.25">
      <c r="A12" s="5">
        <v>43816</v>
      </c>
      <c r="B12" s="4">
        <v>1271.099976</v>
      </c>
      <c r="C12" s="4">
        <v>332.89999399999999</v>
      </c>
      <c r="D12" s="4">
        <v>541.15002400000003</v>
      </c>
      <c r="E12" s="4">
        <v>1492.75</v>
      </c>
      <c r="F12" s="4">
        <v>745.65002400000003</v>
      </c>
      <c r="G12" s="3">
        <f>IF('Value at Risk'!$C$5=0,'Market Data - EQ'!B12-'Market Data - EQ'!B13,IF('Value at Risk'!$C$6=0,('Market Data - EQ'!B12-'Market Data - EQ'!B13)/'Market Data - EQ'!B13,LN('Market Data - EQ'!B12/'Market Data - EQ'!B13)))</f>
        <v>1.093569830393825E-2</v>
      </c>
      <c r="H12" s="3">
        <f>IF('Value at Risk'!$C$5=0,'Market Data - EQ'!C12-'Market Data - EQ'!C13,IF('Value at Risk'!$C$6=0,('Market Data - EQ'!C12-'Market Data - EQ'!C13)/'Market Data - EQ'!C13,LN('Market Data - EQ'!C12/'Market Data - EQ'!C13)))</f>
        <v>3.1640439385738168E-3</v>
      </c>
      <c r="I12" s="3">
        <f>IF('Value at Risk'!$C$5=0,'Market Data - EQ'!D12-'Market Data - EQ'!D13,IF('Value at Risk'!$C$6=0,('Market Data - EQ'!D12-'Market Data - EQ'!D13)/'Market Data - EQ'!D13,LN('Market Data - EQ'!D12/'Market Data - EQ'!D13)))</f>
        <v>3.5234566527585173E-3</v>
      </c>
      <c r="J12" s="3">
        <f>IF('Value at Risk'!$C$5=0,'Market Data - EQ'!E12-'Market Data - EQ'!E13,IF('Value at Risk'!$C$6=0,('Market Data - EQ'!E12-'Market Data - EQ'!E13)/'Market Data - EQ'!E13,LN('Market Data - EQ'!E12/'Market Data - EQ'!E13)))</f>
        <v>-4.3526449012567468E-4</v>
      </c>
      <c r="K12" s="3">
        <f>IF('Value at Risk'!$C$5=0,'Market Data - EQ'!F12-'Market Data - EQ'!F13,IF('Value at Risk'!$C$6=0,('Market Data - EQ'!F12-'Market Data - EQ'!F13)/'Market Data - EQ'!F13,LN('Market Data - EQ'!F12/'Market Data - EQ'!F13)))</f>
        <v>-2.1411522248243153E-3</v>
      </c>
      <c r="L12" s="8">
        <f t="shared" si="0"/>
        <v>3.0093564360641192E-3</v>
      </c>
    </row>
    <row r="13" spans="1:13" x14ac:dyDescent="0.25">
      <c r="A13" s="5">
        <v>43815</v>
      </c>
      <c r="B13" s="4">
        <v>1257.349976</v>
      </c>
      <c r="C13" s="4">
        <v>331.85000600000001</v>
      </c>
      <c r="D13" s="4">
        <v>539.25</v>
      </c>
      <c r="E13" s="4">
        <v>1493.400024</v>
      </c>
      <c r="F13" s="4">
        <v>747.25</v>
      </c>
      <c r="G13" s="3">
        <f>IF('Value at Risk'!$C$5=0,'Market Data - EQ'!B13-'Market Data - EQ'!B14,IF('Value at Risk'!$C$6=0,('Market Data - EQ'!B13-'Market Data - EQ'!B14)/'Market Data - EQ'!B14,LN('Market Data - EQ'!B13/'Market Data - EQ'!B14)))</f>
        <v>-5.1430154871482947E-3</v>
      </c>
      <c r="H13" s="3">
        <f>IF('Value at Risk'!$C$5=0,'Market Data - EQ'!C13-'Market Data - EQ'!C14,IF('Value at Risk'!$C$6=0,('Market Data - EQ'!C13-'Market Data - EQ'!C14)/'Market Data - EQ'!C14,LN('Market Data - EQ'!C13/'Market Data - EQ'!C14)))</f>
        <v>-2.1048925733233742E-3</v>
      </c>
      <c r="I13" s="3">
        <f>IF('Value at Risk'!$C$5=0,'Market Data - EQ'!D13-'Market Data - EQ'!D14,IF('Value at Risk'!$C$6=0,('Market Data - EQ'!D13-'Market Data - EQ'!D14)/'Market Data - EQ'!D14,LN('Market Data - EQ'!D13/'Market Data - EQ'!D14)))</f>
        <v>4.0964752800627851E-3</v>
      </c>
      <c r="J13" s="3">
        <f>IF('Value at Risk'!$C$5=0,'Market Data - EQ'!E13-'Market Data - EQ'!E14,IF('Value at Risk'!$C$6=0,('Market Data - EQ'!E13-'Market Data - EQ'!E14)/'Market Data - EQ'!E14,LN('Market Data - EQ'!E13/'Market Data - EQ'!E14)))</f>
        <v>5.3857545918553178E-3</v>
      </c>
      <c r="K13" s="3">
        <f>IF('Value at Risk'!$C$5=0,'Market Data - EQ'!F13-'Market Data - EQ'!F14,IF('Value at Risk'!$C$6=0,('Market Data - EQ'!F13-'Market Data - EQ'!F14)/'Market Data - EQ'!F14,LN('Market Data - EQ'!F13/'Market Data - EQ'!F14)))</f>
        <v>-6.3164893617021272E-3</v>
      </c>
      <c r="L13" s="8">
        <f t="shared" si="0"/>
        <v>-8.1643351005113857E-4</v>
      </c>
    </row>
    <row r="14" spans="1:13" x14ac:dyDescent="0.25">
      <c r="A14" s="5">
        <v>43812</v>
      </c>
      <c r="B14" s="4">
        <v>1263.849976</v>
      </c>
      <c r="C14" s="4">
        <v>332.54998799999998</v>
      </c>
      <c r="D14" s="4">
        <v>537.04998799999998</v>
      </c>
      <c r="E14" s="4">
        <v>1485.400024</v>
      </c>
      <c r="F14" s="4">
        <v>752</v>
      </c>
      <c r="G14" s="3">
        <f>IF('Value at Risk'!$C$5=0,'Market Data - EQ'!B14-'Market Data - EQ'!B15,IF('Value at Risk'!$C$6=0,('Market Data - EQ'!B14-'Market Data - EQ'!B15)/'Market Data - EQ'!B15,LN('Market Data - EQ'!B14/'Market Data - EQ'!B15)))</f>
        <v>1.9784742382742811E-4</v>
      </c>
      <c r="H14" s="3">
        <f>IF('Value at Risk'!$C$5=0,'Market Data - EQ'!C14-'Market Data - EQ'!C15,IF('Value at Risk'!$C$6=0,('Market Data - EQ'!C14-'Market Data - EQ'!C15)/'Market Data - EQ'!C15,LN('Market Data - EQ'!C14/'Market Data - EQ'!C15)))</f>
        <v>3.3245244059433007E-2</v>
      </c>
      <c r="I14" s="3">
        <f>IF('Value at Risk'!$C$5=0,'Market Data - EQ'!D14-'Market Data - EQ'!D15,IF('Value at Risk'!$C$6=0,('Market Data - EQ'!D14-'Market Data - EQ'!D15)/'Market Data - EQ'!D15,LN('Market Data - EQ'!D14/'Market Data - EQ'!D15)))</f>
        <v>3.1755152259500901E-3</v>
      </c>
      <c r="J14" s="3">
        <f>IF('Value at Risk'!$C$5=0,'Market Data - EQ'!E14-'Market Data - EQ'!E15,IF('Value at Risk'!$C$6=0,('Market Data - EQ'!E14-'Market Data - EQ'!E15)/'Market Data - EQ'!E15,LN('Market Data - EQ'!E14/'Market Data - EQ'!E15)))</f>
        <v>2.8563514395648412E-2</v>
      </c>
      <c r="K14" s="3">
        <f>IF('Value at Risk'!$C$5=0,'Market Data - EQ'!F14-'Market Data - EQ'!F15,IF('Value at Risk'!$C$6=0,('Market Data - EQ'!F14-'Market Data - EQ'!F15)/'Market Data - EQ'!F15,LN('Market Data - EQ'!F14/'Market Data - EQ'!F15)))</f>
        <v>4.1407041952318292E-2</v>
      </c>
      <c r="L14" s="8">
        <f t="shared" si="0"/>
        <v>2.1317832611435446E-2</v>
      </c>
    </row>
    <row r="15" spans="1:13" x14ac:dyDescent="0.25">
      <c r="A15" s="5">
        <v>43811</v>
      </c>
      <c r="B15" s="4">
        <v>1263.599976</v>
      </c>
      <c r="C15" s="4">
        <v>321.85000600000001</v>
      </c>
      <c r="D15" s="4">
        <v>535.34997599999997</v>
      </c>
      <c r="E15" s="4">
        <v>1444.150024</v>
      </c>
      <c r="F15" s="4">
        <v>722.09997599999997</v>
      </c>
      <c r="G15" s="3">
        <f>IF('Value at Risk'!$C$5=0,'Market Data - EQ'!B15-'Market Data - EQ'!B16,IF('Value at Risk'!$C$6=0,('Market Data - EQ'!B15-'Market Data - EQ'!B16)/'Market Data - EQ'!B16,LN('Market Data - EQ'!B15/'Market Data - EQ'!B16)))</f>
        <v>1.1891872672672648E-2</v>
      </c>
      <c r="H15" s="3">
        <f>IF('Value at Risk'!$C$5=0,'Market Data - EQ'!C15-'Market Data - EQ'!C16,IF('Value at Risk'!$C$6=0,('Market Data - EQ'!C15-'Market Data - EQ'!C16)/'Market Data - EQ'!C16,LN('Market Data - EQ'!C15/'Market Data - EQ'!C16)))</f>
        <v>2.8932283718629884E-2</v>
      </c>
      <c r="I15" s="3">
        <f>IF('Value at Risk'!$C$5=0,'Market Data - EQ'!D15-'Market Data - EQ'!D16,IF('Value at Risk'!$C$6=0,('Market Data - EQ'!D15-'Market Data - EQ'!D16)/'Market Data - EQ'!D16,LN('Market Data - EQ'!D15/'Market Data - EQ'!D16)))</f>
        <v>3.3736070480428629E-3</v>
      </c>
      <c r="J15" s="3">
        <f>IF('Value at Risk'!$C$5=0,'Market Data - EQ'!E15-'Market Data - EQ'!E16,IF('Value at Risk'!$C$6=0,('Market Data - EQ'!E15-'Market Data - EQ'!E16)/'Market Data - EQ'!E16,LN('Market Data - EQ'!E15/'Market Data - EQ'!E16)))</f>
        <v>1.654172357934652E-2</v>
      </c>
      <c r="K15" s="3">
        <f>IF('Value at Risk'!$C$5=0,'Market Data - EQ'!F15-'Market Data - EQ'!F16,IF('Value at Risk'!$C$6=0,('Market Data - EQ'!F15-'Market Data - EQ'!F16)/'Market Data - EQ'!F16,LN('Market Data - EQ'!F15/'Market Data - EQ'!F16)))</f>
        <v>7.7454303160214202E-3</v>
      </c>
      <c r="L15" s="8">
        <f t="shared" si="0"/>
        <v>1.3696983466942666E-2</v>
      </c>
    </row>
    <row r="16" spans="1:13" x14ac:dyDescent="0.25">
      <c r="A16" s="5">
        <v>43810</v>
      </c>
      <c r="B16" s="4">
        <v>1248.75</v>
      </c>
      <c r="C16" s="4">
        <v>312.79998799999998</v>
      </c>
      <c r="D16" s="4">
        <v>533.54998799999998</v>
      </c>
      <c r="E16" s="4">
        <v>1420.650024</v>
      </c>
      <c r="F16" s="4">
        <v>716.54998799999998</v>
      </c>
      <c r="G16" s="3">
        <f>IF('Value at Risk'!$C$5=0,'Market Data - EQ'!B16-'Market Data - EQ'!B17,IF('Value at Risk'!$C$6=0,('Market Data - EQ'!B16-'Market Data - EQ'!B17)/'Market Data - EQ'!B17,LN('Market Data - EQ'!B16/'Market Data - EQ'!B17)))</f>
        <v>-6.0024009603841532E-4</v>
      </c>
      <c r="H16" s="3">
        <f>IF('Value at Risk'!$C$5=0,'Market Data - EQ'!C16-'Market Data - EQ'!C17,IF('Value at Risk'!$C$6=0,('Market Data - EQ'!C16-'Market Data - EQ'!C17)/'Market Data - EQ'!C17,LN('Market Data - EQ'!C16/'Market Data - EQ'!C17)))</f>
        <v>-1.9145054610307606E-3</v>
      </c>
      <c r="I16" s="3">
        <f>IF('Value at Risk'!$C$5=0,'Market Data - EQ'!D16-'Market Data - EQ'!D17,IF('Value at Risk'!$C$6=0,('Market Data - EQ'!D16-'Market Data - EQ'!D17)/'Market Data - EQ'!D17,LN('Market Data - EQ'!D16/'Market Data - EQ'!D17)))</f>
        <v>9.1733986947591922E-3</v>
      </c>
      <c r="J16" s="3">
        <f>IF('Value at Risk'!$C$5=0,'Market Data - EQ'!E16-'Market Data - EQ'!E17,IF('Value at Risk'!$C$6=0,('Market Data - EQ'!E16-'Market Data - EQ'!E17)/'Market Data - EQ'!E17,LN('Market Data - EQ'!E16/'Market Data - EQ'!E17)))</f>
        <v>6.4111987488444534E-3</v>
      </c>
      <c r="K16" s="3">
        <f>IF('Value at Risk'!$C$5=0,'Market Data - EQ'!F16-'Market Data - EQ'!F17,IF('Value at Risk'!$C$6=0,('Market Data - EQ'!F16-'Market Data - EQ'!F17)/'Market Data - EQ'!F17,LN('Market Data - EQ'!F16/'Market Data - EQ'!F17)))</f>
        <v>1.187614902540996E-3</v>
      </c>
      <c r="L16" s="8">
        <f t="shared" si="0"/>
        <v>2.8514933578150927E-3</v>
      </c>
    </row>
    <row r="17" spans="1:12" x14ac:dyDescent="0.25">
      <c r="A17" s="5">
        <v>43809</v>
      </c>
      <c r="B17" s="4">
        <v>1249.5</v>
      </c>
      <c r="C17" s="4">
        <v>313.39999399999999</v>
      </c>
      <c r="D17" s="4">
        <v>528.70001200000002</v>
      </c>
      <c r="E17" s="4">
        <v>1411.599976</v>
      </c>
      <c r="F17" s="4">
        <v>715.70001200000002</v>
      </c>
      <c r="G17" s="3">
        <f>IF('Value at Risk'!$C$5=0,'Market Data - EQ'!B17-'Market Data - EQ'!B18,IF('Value at Risk'!$C$6=0,('Market Data - EQ'!B17-'Market Data - EQ'!B18)/'Market Data - EQ'!B18,LN('Market Data - EQ'!B17/'Market Data - EQ'!B18)))</f>
        <v>5.2697608578126439E-3</v>
      </c>
      <c r="H17" s="3">
        <f>IF('Value at Risk'!$C$5=0,'Market Data - EQ'!C17-'Market Data - EQ'!C18,IF('Value at Risk'!$C$6=0,('Market Data - EQ'!C17-'Market Data - EQ'!C18)/'Market Data - EQ'!C18,LN('Market Data - EQ'!C17/'Market Data - EQ'!C18)))</f>
        <v>-1.0420012235427458E-2</v>
      </c>
      <c r="I17" s="3">
        <f>IF('Value at Risk'!$C$5=0,'Market Data - EQ'!D17-'Market Data - EQ'!D18,IF('Value at Risk'!$C$6=0,('Market Data - EQ'!D17-'Market Data - EQ'!D18)/'Market Data - EQ'!D18,LN('Market Data - EQ'!D17/'Market Data - EQ'!D18)))</f>
        <v>4.1785603038936659E-3</v>
      </c>
      <c r="J17" s="3">
        <f>IF('Value at Risk'!$C$5=0,'Market Data - EQ'!E17-'Market Data - EQ'!E18,IF('Value at Risk'!$C$6=0,('Market Data - EQ'!E17-'Market Data - EQ'!E18)/'Market Data - EQ'!E18,LN('Market Data - EQ'!E17/'Market Data - EQ'!E18)))</f>
        <v>-2.6482775172413812E-2</v>
      </c>
      <c r="K17" s="3">
        <f>IF('Value at Risk'!$C$5=0,'Market Data - EQ'!F17-'Market Data - EQ'!F18,IF('Value at Risk'!$C$6=0,('Market Data - EQ'!F17-'Market Data - EQ'!F18)/'Market Data - EQ'!F18,LN('Market Data - EQ'!F17/'Market Data - EQ'!F18)))</f>
        <v>-2.2267743169398887E-2</v>
      </c>
      <c r="L17" s="8">
        <f t="shared" si="0"/>
        <v>-9.94444188310677E-3</v>
      </c>
    </row>
    <row r="18" spans="1:12" x14ac:dyDescent="0.25">
      <c r="A18" s="5">
        <v>43808</v>
      </c>
      <c r="B18" s="4">
        <v>1242.9499510000001</v>
      </c>
      <c r="C18" s="4">
        <v>316.70001200000002</v>
      </c>
      <c r="D18" s="4">
        <v>526.5</v>
      </c>
      <c r="E18" s="4">
        <v>1450</v>
      </c>
      <c r="F18" s="4">
        <v>732</v>
      </c>
      <c r="G18" s="3">
        <f>IF('Value at Risk'!$C$5=0,'Market Data - EQ'!B18-'Market Data - EQ'!B19,IF('Value at Risk'!$C$6=0,('Market Data - EQ'!B18-'Market Data - EQ'!B19)/'Market Data - EQ'!B19,LN('Market Data - EQ'!B18/'Market Data - EQ'!B19)))</f>
        <v>-2.4879401934840653E-3</v>
      </c>
      <c r="H18" s="3">
        <f>IF('Value at Risk'!$C$5=0,'Market Data - EQ'!C18-'Market Data - EQ'!C19,IF('Value at Risk'!$C$6=0,('Market Data - EQ'!C18-'Market Data - EQ'!C19)/'Market Data - EQ'!C19,LN('Market Data - EQ'!C18/'Market Data - EQ'!C19)))</f>
        <v>-1.0312462499999953E-2</v>
      </c>
      <c r="I18" s="3">
        <f>IF('Value at Risk'!$C$5=0,'Market Data - EQ'!D18-'Market Data - EQ'!D19,IF('Value at Risk'!$C$6=0,('Market Data - EQ'!D18-'Market Data - EQ'!D19)/'Market Data - EQ'!D19,LN('Market Data - EQ'!D18/'Market Data - EQ'!D19)))</f>
        <v>3.2393522082169242E-3</v>
      </c>
      <c r="J18" s="3">
        <f>IF('Value at Risk'!$C$5=0,'Market Data - EQ'!E18-'Market Data - EQ'!E19,IF('Value at Risk'!$C$6=0,('Market Data - EQ'!E18-'Market Data - EQ'!E19)/'Market Data - EQ'!E19,LN('Market Data - EQ'!E18/'Market Data - EQ'!E19)))</f>
        <v>-1.081282277143481E-2</v>
      </c>
      <c r="K18" s="3">
        <f>IF('Value at Risk'!$C$5=0,'Market Data - EQ'!F18-'Market Data - EQ'!F19,IF('Value at Risk'!$C$6=0,('Market Data - EQ'!F18-'Market Data - EQ'!F19)/'Market Data - EQ'!F19,LN('Market Data - EQ'!F18/'Market Data - EQ'!F19)))</f>
        <v>2.0066923748057693E-2</v>
      </c>
      <c r="L18" s="8">
        <f t="shared" si="0"/>
        <v>-6.138990172884218E-5</v>
      </c>
    </row>
    <row r="19" spans="1:12" x14ac:dyDescent="0.25">
      <c r="A19" s="5">
        <v>43805</v>
      </c>
      <c r="B19" s="4">
        <v>1246.0500489999999</v>
      </c>
      <c r="C19" s="4">
        <v>320</v>
      </c>
      <c r="D19" s="4">
        <v>524.79998799999998</v>
      </c>
      <c r="E19" s="4">
        <v>1465.849976</v>
      </c>
      <c r="F19" s="4">
        <v>717.59997599999997</v>
      </c>
      <c r="G19" s="3">
        <f>IF('Value at Risk'!$C$5=0,'Market Data - EQ'!B19-'Market Data - EQ'!B20,IF('Value at Risk'!$C$6=0,('Market Data - EQ'!B19-'Market Data - EQ'!B20)/'Market Data - EQ'!B20,LN('Market Data - EQ'!B19/'Market Data - EQ'!B20)))</f>
        <v>3.6133028955676126E-4</v>
      </c>
      <c r="H19" s="3">
        <f>IF('Value at Risk'!$C$5=0,'Market Data - EQ'!C19-'Market Data - EQ'!C20,IF('Value at Risk'!$C$6=0,('Market Data - EQ'!C19-'Market Data - EQ'!C20)/'Market Data - EQ'!C20,LN('Market Data - EQ'!C19/'Market Data - EQ'!C20)))</f>
        <v>-4.8185637780405598E-2</v>
      </c>
      <c r="I19" s="3">
        <f>IF('Value at Risk'!$C$5=0,'Market Data - EQ'!D19-'Market Data - EQ'!D20,IF('Value at Risk'!$C$6=0,('Market Data - EQ'!D19-'Market Data - EQ'!D20)/'Market Data - EQ'!D20,LN('Market Data - EQ'!D19/'Market Data - EQ'!D20)))</f>
        <v>-6.2487940730373845E-3</v>
      </c>
      <c r="J19" s="3">
        <f>IF('Value at Risk'!$C$5=0,'Market Data - EQ'!E19-'Market Data - EQ'!E20,IF('Value at Risk'!$C$6=0,('Market Data - EQ'!E19-'Market Data - EQ'!E20)/'Market Data - EQ'!E20,LN('Market Data - EQ'!E19/'Market Data - EQ'!E20)))</f>
        <v>-2.9077677761218765E-2</v>
      </c>
      <c r="K19" s="3">
        <f>IF('Value at Risk'!$C$5=0,'Market Data - EQ'!F19-'Market Data - EQ'!F20,IF('Value at Risk'!$C$6=0,('Market Data - EQ'!F19-'Market Data - EQ'!F20)/'Market Data - EQ'!F20,LN('Market Data - EQ'!F19/'Market Data - EQ'!F20)))</f>
        <v>-1.5975350017140941E-2</v>
      </c>
      <c r="L19" s="8">
        <f t="shared" si="0"/>
        <v>-1.9825225868449182E-2</v>
      </c>
    </row>
    <row r="20" spans="1:12" x14ac:dyDescent="0.25">
      <c r="A20" s="5">
        <v>43804</v>
      </c>
      <c r="B20" s="4">
        <v>1245.599976</v>
      </c>
      <c r="C20" s="4">
        <v>336.20001200000002</v>
      </c>
      <c r="D20" s="4">
        <v>528.09997599999997</v>
      </c>
      <c r="E20" s="4">
        <v>1509.75</v>
      </c>
      <c r="F20" s="4">
        <v>729.25</v>
      </c>
      <c r="G20" s="3">
        <f>IF('Value at Risk'!$C$5=0,'Market Data - EQ'!B20-'Market Data - EQ'!B21,IF('Value at Risk'!$C$6=0,('Market Data - EQ'!B20-'Market Data - EQ'!B21)/'Market Data - EQ'!B21,LN('Market Data - EQ'!B20/'Market Data - EQ'!B21)))</f>
        <v>-4.8336578787938093E-3</v>
      </c>
      <c r="H20" s="3">
        <f>IF('Value at Risk'!$C$5=0,'Market Data - EQ'!C20-'Market Data - EQ'!C21,IF('Value at Risk'!$C$6=0,('Market Data - EQ'!C20-'Market Data - EQ'!C21)/'Market Data - EQ'!C21,LN('Market Data - EQ'!C20/'Market Data - EQ'!C21)))</f>
        <v>-1.652769899322451E-2</v>
      </c>
      <c r="I20" s="3">
        <f>IF('Value at Risk'!$C$5=0,'Market Data - EQ'!D20-'Market Data - EQ'!D21,IF('Value at Risk'!$C$6=0,('Market Data - EQ'!D20-'Market Data - EQ'!D21)/'Market Data - EQ'!D21,LN('Market Data - EQ'!D20/'Market Data - EQ'!D21)))</f>
        <v>-2.1729315068493723E-3</v>
      </c>
      <c r="J20" s="3">
        <f>IF('Value at Risk'!$C$5=0,'Market Data - EQ'!E20-'Market Data - EQ'!E21,IF('Value at Risk'!$C$6=0,('Market Data - EQ'!E20-'Market Data - EQ'!E21)/'Market Data - EQ'!E21,LN('Market Data - EQ'!E20/'Market Data - EQ'!E21)))</f>
        <v>-2.2372627017898869E-2</v>
      </c>
      <c r="K20" s="3">
        <f>IF('Value at Risk'!$C$5=0,'Market Data - EQ'!F20-'Market Data - EQ'!F21,IF('Value at Risk'!$C$6=0,('Market Data - EQ'!F20-'Market Data - EQ'!F21)/'Market Data - EQ'!F21,LN('Market Data - EQ'!F20/'Market Data - EQ'!F21)))</f>
        <v>-1.4327196518014038E-2</v>
      </c>
      <c r="L20" s="8">
        <f t="shared" si="0"/>
        <v>-1.2046822382956119E-2</v>
      </c>
    </row>
    <row r="21" spans="1:12" x14ac:dyDescent="0.25">
      <c r="A21" s="5">
        <v>43803</v>
      </c>
      <c r="B21" s="4">
        <v>1251.650024</v>
      </c>
      <c r="C21" s="4">
        <v>341.85000600000001</v>
      </c>
      <c r="D21" s="4">
        <v>529.25</v>
      </c>
      <c r="E21" s="4">
        <v>1544.3000489999999</v>
      </c>
      <c r="F21" s="4">
        <v>739.84997599999997</v>
      </c>
      <c r="G21" s="3">
        <f>IF('Value at Risk'!$C$5=0,'Market Data - EQ'!B21-'Market Data - EQ'!B22,IF('Value at Risk'!$C$6=0,('Market Data - EQ'!B21-'Market Data - EQ'!B22)/'Market Data - EQ'!B22,LN('Market Data - EQ'!B21/'Market Data - EQ'!B22)))</f>
        <v>-2.9870956892701158E-3</v>
      </c>
      <c r="H21" s="3">
        <f>IF('Value at Risk'!$C$5=0,'Market Data - EQ'!C21-'Market Data - EQ'!C22,IF('Value at Risk'!$C$6=0,('Market Data - EQ'!C21-'Market Data - EQ'!C22)/'Market Data - EQ'!C22,LN('Market Data - EQ'!C21/'Market Data - EQ'!C22)))</f>
        <v>1.6654292936802997E-2</v>
      </c>
      <c r="I21" s="3">
        <f>IF('Value at Risk'!$C$5=0,'Market Data - EQ'!D21-'Market Data - EQ'!D22,IF('Value at Risk'!$C$6=0,('Market Data - EQ'!D21-'Market Data - EQ'!D22)/'Market Data - EQ'!D22,LN('Market Data - EQ'!D21/'Market Data - EQ'!D22)))</f>
        <v>3.9069389939302354E-2</v>
      </c>
      <c r="J21" s="3">
        <f>IF('Value at Risk'!$C$5=0,'Market Data - EQ'!E21-'Market Data - EQ'!E22,IF('Value at Risk'!$C$6=0,('Market Data - EQ'!E21-'Market Data - EQ'!E22)/'Market Data - EQ'!E22,LN('Market Data - EQ'!E21/'Market Data - EQ'!E22)))</f>
        <v>-2.5888652339324828E-4</v>
      </c>
      <c r="K21" s="3">
        <f>IF('Value at Risk'!$C$5=0,'Market Data - EQ'!F21-'Market Data - EQ'!F22,IF('Value at Risk'!$C$6=0,('Market Data - EQ'!F21-'Market Data - EQ'!F22)/'Market Data - EQ'!F22,LN('Market Data - EQ'!F21/'Market Data - EQ'!F22)))</f>
        <v>8.7945892949683607E-3</v>
      </c>
      <c r="L21" s="8">
        <f t="shared" si="0"/>
        <v>1.225445799168207E-2</v>
      </c>
    </row>
    <row r="22" spans="1:12" x14ac:dyDescent="0.25">
      <c r="A22" s="5">
        <v>43802</v>
      </c>
      <c r="B22" s="4">
        <v>1255.400024</v>
      </c>
      <c r="C22" s="4">
        <v>336.25</v>
      </c>
      <c r="D22" s="4">
        <v>509.35000600000001</v>
      </c>
      <c r="E22" s="4">
        <v>1544.6999510000001</v>
      </c>
      <c r="F22" s="4">
        <v>733.40002400000003</v>
      </c>
      <c r="G22" s="3">
        <f>IF('Value at Risk'!$C$5=0,'Market Data - EQ'!B22-'Market Data - EQ'!B23,IF('Value at Risk'!$C$6=0,('Market Data - EQ'!B22-'Market Data - EQ'!B23)/'Market Data - EQ'!B23,LN('Market Data - EQ'!B22/'Market Data - EQ'!B23)))</f>
        <v>-8.176951214694821E-3</v>
      </c>
      <c r="H22" s="3">
        <f>IF('Value at Risk'!$C$5=0,'Market Data - EQ'!C22-'Market Data - EQ'!C23,IF('Value at Risk'!$C$6=0,('Market Data - EQ'!C22-'Market Data - EQ'!C23)/'Market Data - EQ'!C23,LN('Market Data - EQ'!C22/'Market Data - EQ'!C23)))</f>
        <v>-6.6469719350073855E-3</v>
      </c>
      <c r="I22" s="3">
        <f>IF('Value at Risk'!$C$5=0,'Market Data - EQ'!D22-'Market Data - EQ'!D23,IF('Value at Risk'!$C$6=0,('Market Data - EQ'!D22-'Market Data - EQ'!D23)/'Market Data - EQ'!D23,LN('Market Data - EQ'!D22/'Market Data - EQ'!D23)))</f>
        <v>-3.0338383601546583E-3</v>
      </c>
      <c r="J22" s="3">
        <f>IF('Value at Risk'!$C$5=0,'Market Data - EQ'!E22-'Market Data - EQ'!E23,IF('Value at Risk'!$C$6=0,('Market Data - EQ'!E22-'Market Data - EQ'!E23)/'Market Data - EQ'!E23,LN('Market Data - EQ'!E22/'Market Data - EQ'!E23)))</f>
        <v>-1.9860437182741081E-2</v>
      </c>
      <c r="K22" s="3">
        <f>IF('Value at Risk'!$C$5=0,'Market Data - EQ'!F22-'Market Data - EQ'!F23,IF('Value at Risk'!$C$6=0,('Market Data - EQ'!F22-'Market Data - EQ'!F23)/'Market Data - EQ'!F23,LN('Market Data - EQ'!F22/'Market Data - EQ'!F23)))</f>
        <v>-1.4644584409156211E-2</v>
      </c>
      <c r="L22" s="8">
        <f t="shared" si="0"/>
        <v>-1.0472556620350831E-2</v>
      </c>
    </row>
    <row r="23" spans="1:12" x14ac:dyDescent="0.25">
      <c r="A23" s="5">
        <v>43801</v>
      </c>
      <c r="B23" s="4">
        <v>1265.75</v>
      </c>
      <c r="C23" s="4">
        <v>338.5</v>
      </c>
      <c r="D23" s="4">
        <v>510.89999399999999</v>
      </c>
      <c r="E23" s="4">
        <v>1576</v>
      </c>
      <c r="F23" s="4">
        <v>744.29998799999998</v>
      </c>
      <c r="G23" s="3">
        <f>IF('Value at Risk'!$C$5=0,'Market Data - EQ'!B23-'Market Data - EQ'!B24,IF('Value at Risk'!$C$6=0,('Market Data - EQ'!B23-'Market Data - EQ'!B24)/'Market Data - EQ'!B24,LN('Market Data - EQ'!B23/'Market Data - EQ'!B24)))</f>
        <v>-7.2159310981455577E-3</v>
      </c>
      <c r="H23" s="3">
        <f>IF('Value at Risk'!$C$5=0,'Market Data - EQ'!C23-'Market Data - EQ'!C24,IF('Value at Risk'!$C$6=0,('Market Data - EQ'!C23-'Market Data - EQ'!C24)/'Market Data - EQ'!C24,LN('Market Data - EQ'!C23/'Market Data - EQ'!C24)))</f>
        <v>-9.7996370958086439E-3</v>
      </c>
      <c r="I23" s="3">
        <f>IF('Value at Risk'!$C$5=0,'Market Data - EQ'!D23-'Market Data - EQ'!D24,IF('Value at Risk'!$C$6=0,('Market Data - EQ'!D23-'Market Data - EQ'!D24)/'Market Data - EQ'!D24,LN('Market Data - EQ'!D23/'Market Data - EQ'!D24)))</f>
        <v>-3.3163911033815135E-3</v>
      </c>
      <c r="J23" s="3">
        <f>IF('Value at Risk'!$C$5=0,'Market Data - EQ'!E23-'Market Data - EQ'!E24,IF('Value at Risk'!$C$6=0,('Market Data - EQ'!E23-'Market Data - EQ'!E24)/'Market Data - EQ'!E24,LN('Market Data - EQ'!E23/'Market Data - EQ'!E24)))</f>
        <v>4.3974406382885764E-3</v>
      </c>
      <c r="K23" s="3">
        <f>IF('Value at Risk'!$C$5=0,'Market Data - EQ'!F23-'Market Data - EQ'!F24,IF('Value at Risk'!$C$6=0,('Market Data - EQ'!F23-'Market Data - EQ'!F24)/'Market Data - EQ'!F24,LN('Market Data - EQ'!F23/'Market Data - EQ'!F24)))</f>
        <v>7.1037143430682254E-3</v>
      </c>
      <c r="L23" s="8">
        <f t="shared" si="0"/>
        <v>-1.7661608631957826E-3</v>
      </c>
    </row>
    <row r="24" spans="1:12" x14ac:dyDescent="0.25">
      <c r="A24" s="5">
        <v>43798</v>
      </c>
      <c r="B24" s="4">
        <v>1274.9499510000001</v>
      </c>
      <c r="C24" s="4">
        <v>341.85000600000001</v>
      </c>
      <c r="D24" s="4">
        <v>512.59997599999997</v>
      </c>
      <c r="E24" s="4">
        <v>1569.099976</v>
      </c>
      <c r="F24" s="4">
        <v>739.04998799999998</v>
      </c>
      <c r="G24" s="3">
        <f>IF('Value at Risk'!$C$5=0,'Market Data - EQ'!B24-'Market Data - EQ'!B25,IF('Value at Risk'!$C$6=0,('Market Data - EQ'!B24-'Market Data - EQ'!B25)/'Market Data - EQ'!B25,LN('Market Data - EQ'!B24/'Market Data - EQ'!B25)))</f>
        <v>7.6265720590358655E-3</v>
      </c>
      <c r="H24" s="3">
        <f>IF('Value at Risk'!$C$5=0,'Market Data - EQ'!C24-'Market Data - EQ'!C25,IF('Value at Risk'!$C$6=0,('Market Data - EQ'!C24-'Market Data - EQ'!C25)/'Market Data - EQ'!C25,LN('Market Data - EQ'!C24/'Market Data - EQ'!C25)))</f>
        <v>-2.1328320228857202E-2</v>
      </c>
      <c r="I24" s="3">
        <f>IF('Value at Risk'!$C$5=0,'Market Data - EQ'!D24-'Market Data - EQ'!D25,IF('Value at Risk'!$C$6=0,('Market Data - EQ'!D24-'Market Data - EQ'!D25)/'Market Data - EQ'!D25,LN('Market Data - EQ'!D24/'Market Data - EQ'!D25)))</f>
        <v>-1.2616869300193002E-2</v>
      </c>
      <c r="J24" s="3">
        <f>IF('Value at Risk'!$C$5=0,'Market Data - EQ'!E24-'Market Data - EQ'!E25,IF('Value at Risk'!$C$6=0,('Market Data - EQ'!E24-'Market Data - EQ'!E25)/'Market Data - EQ'!E25,LN('Market Data - EQ'!E24/'Market Data - EQ'!E25)))</f>
        <v>5.4199011637173257E-4</v>
      </c>
      <c r="K24" s="3">
        <f>IF('Value at Risk'!$C$5=0,'Market Data - EQ'!F24-'Market Data - EQ'!F25,IF('Value at Risk'!$C$6=0,('Market Data - EQ'!F24-'Market Data - EQ'!F25)/'Market Data - EQ'!F25,LN('Market Data - EQ'!F24/'Market Data - EQ'!F25)))</f>
        <v>-1.5387674352923221E-2</v>
      </c>
      <c r="L24" s="8">
        <f t="shared" si="0"/>
        <v>-8.2328603413131651E-3</v>
      </c>
    </row>
    <row r="25" spans="1:12" x14ac:dyDescent="0.25">
      <c r="A25" s="5">
        <v>43797</v>
      </c>
      <c r="B25" s="4">
        <v>1265.3000489999999</v>
      </c>
      <c r="C25" s="4">
        <v>349.29998799999998</v>
      </c>
      <c r="D25" s="4">
        <v>519.15002400000003</v>
      </c>
      <c r="E25" s="4">
        <v>1568.25</v>
      </c>
      <c r="F25" s="4">
        <v>750.59997599999997</v>
      </c>
      <c r="G25" s="3">
        <f>IF('Value at Risk'!$C$5=0,'Market Data - EQ'!B25-'Market Data - EQ'!B26,IF('Value at Risk'!$C$6=0,('Market Data - EQ'!B25-'Market Data - EQ'!B26)/'Market Data - EQ'!B26,LN('Market Data - EQ'!B25/'Market Data - EQ'!B26)))</f>
        <v>-1.0247164231905619E-2</v>
      </c>
      <c r="H25" s="3">
        <f>IF('Value at Risk'!$C$5=0,'Market Data - EQ'!C25-'Market Data - EQ'!C26,IF('Value at Risk'!$C$6=0,('Market Data - EQ'!C25-'Market Data - EQ'!C26)/'Market Data - EQ'!C26,LN('Market Data - EQ'!C25/'Market Data - EQ'!C26)))</f>
        <v>1.6737011208977252E-2</v>
      </c>
      <c r="I25" s="3">
        <f>IF('Value at Risk'!$C$5=0,'Market Data - EQ'!D25-'Market Data - EQ'!D26,IF('Value at Risk'!$C$6=0,('Market Data - EQ'!D25-'Market Data - EQ'!D26)/'Market Data - EQ'!D26,LN('Market Data - EQ'!D25/'Market Data - EQ'!D26)))</f>
        <v>2.7003014836795312E-2</v>
      </c>
      <c r="J25" s="3">
        <f>IF('Value at Risk'!$C$5=0,'Market Data - EQ'!E25-'Market Data - EQ'!E26,IF('Value at Risk'!$C$6=0,('Market Data - EQ'!E25-'Market Data - EQ'!E26)/'Market Data - EQ'!E26,LN('Market Data - EQ'!E25/'Market Data - EQ'!E26)))</f>
        <v>2.7451125009877834E-2</v>
      </c>
      <c r="K25" s="3">
        <f>IF('Value at Risk'!$C$5=0,'Market Data - EQ'!F25-'Market Data - EQ'!F26,IF('Value at Risk'!$C$6=0,('Market Data - EQ'!F25-'Market Data - EQ'!F26)/'Market Data - EQ'!F26,LN('Market Data - EQ'!F25/'Market Data - EQ'!F26)))</f>
        <v>-3.0549182184646346E-3</v>
      </c>
      <c r="L25" s="8">
        <f t="shared" si="0"/>
        <v>1.157781372105603E-2</v>
      </c>
    </row>
    <row r="26" spans="1:12" x14ac:dyDescent="0.25">
      <c r="A26" s="5">
        <v>43796</v>
      </c>
      <c r="B26" s="4">
        <v>1278.400024</v>
      </c>
      <c r="C26" s="4">
        <v>343.54998799999998</v>
      </c>
      <c r="D26" s="4">
        <v>505.5</v>
      </c>
      <c r="E26" s="4">
        <v>1526.349976</v>
      </c>
      <c r="F26" s="4">
        <v>752.90002400000003</v>
      </c>
      <c r="G26" s="3">
        <f>IF('Value at Risk'!$C$5=0,'Market Data - EQ'!B26-'Market Data - EQ'!B27,IF('Value at Risk'!$C$6=0,('Market Data - EQ'!B26-'Market Data - EQ'!B27)/'Market Data - EQ'!B27,LN('Market Data - EQ'!B26/'Market Data - EQ'!B27)))</f>
        <v>2.6273282390972923E-3</v>
      </c>
      <c r="H26" s="3">
        <f>IF('Value at Risk'!$C$5=0,'Market Data - EQ'!C26-'Market Data - EQ'!C27,IF('Value at Risk'!$C$6=0,('Market Data - EQ'!C26-'Market Data - EQ'!C27)/'Market Data - EQ'!C27,LN('Market Data - EQ'!C26/'Market Data - EQ'!C27)))</f>
        <v>2.3994002980625886E-2</v>
      </c>
      <c r="I26" s="3">
        <f>IF('Value at Risk'!$C$5=0,'Market Data - EQ'!D26-'Market Data - EQ'!D27,IF('Value at Risk'!$C$6=0,('Market Data - EQ'!D26-'Market Data - EQ'!D27)/'Market Data - EQ'!D27,LN('Market Data - EQ'!D26/'Market Data - EQ'!D27)))</f>
        <v>-1.0182126253797729E-2</v>
      </c>
      <c r="J26" s="3">
        <f>IF('Value at Risk'!$C$5=0,'Market Data - EQ'!E26-'Market Data - EQ'!E27,IF('Value at Risk'!$C$6=0,('Market Data - EQ'!E26-'Market Data - EQ'!E27)/'Market Data - EQ'!E27,LN('Market Data - EQ'!E26/'Market Data - EQ'!E27)))</f>
        <v>6.8935627907872766E-3</v>
      </c>
      <c r="K26" s="3">
        <f>IF('Value at Risk'!$C$5=0,'Market Data - EQ'!F26-'Market Data - EQ'!F27,IF('Value at Risk'!$C$6=0,('Market Data - EQ'!F26-'Market Data - EQ'!F27)/'Market Data - EQ'!F27,LN('Market Data - EQ'!F26/'Market Data - EQ'!F27)))</f>
        <v>8.6410634762383565E-4</v>
      </c>
      <c r="L26" s="8">
        <f t="shared" si="0"/>
        <v>4.8393748208673121E-3</v>
      </c>
    </row>
    <row r="27" spans="1:12" x14ac:dyDescent="0.25">
      <c r="A27" s="5">
        <v>43795</v>
      </c>
      <c r="B27" s="4">
        <v>1275.0500489999999</v>
      </c>
      <c r="C27" s="4">
        <v>335.5</v>
      </c>
      <c r="D27" s="4">
        <v>510.70001200000002</v>
      </c>
      <c r="E27" s="4">
        <v>1515.900024</v>
      </c>
      <c r="F27" s="4">
        <v>752.25</v>
      </c>
      <c r="G27" s="3">
        <f>IF('Value at Risk'!$C$5=0,'Market Data - EQ'!B27-'Market Data - EQ'!B28,IF('Value at Risk'!$C$6=0,('Market Data - EQ'!B27-'Market Data - EQ'!B28)/'Market Data - EQ'!B28,LN('Market Data - EQ'!B27/'Market Data - EQ'!B28)))</f>
        <v>3.1076021356167306E-3</v>
      </c>
      <c r="H27" s="3">
        <f>IF('Value at Risk'!$C$5=0,'Market Data - EQ'!C27-'Market Data - EQ'!C28,IF('Value at Risk'!$C$6=0,('Market Data - EQ'!C27-'Market Data - EQ'!C28)/'Market Data - EQ'!C28,LN('Market Data - EQ'!C27/'Market Data - EQ'!C28)))</f>
        <v>-1.7852008012163129E-3</v>
      </c>
      <c r="I27" s="3">
        <f>IF('Value at Risk'!$C$5=0,'Market Data - EQ'!D27-'Market Data - EQ'!D28,IF('Value at Risk'!$C$6=0,('Market Data - EQ'!D27-'Market Data - EQ'!D28)/'Market Data - EQ'!D28,LN('Market Data - EQ'!D27/'Market Data - EQ'!D28)))</f>
        <v>2.5914070532279784E-2</v>
      </c>
      <c r="J27" s="3">
        <f>IF('Value at Risk'!$C$5=0,'Market Data - EQ'!E27-'Market Data - EQ'!E28,IF('Value at Risk'!$C$6=0,('Market Data - EQ'!E27-'Market Data - EQ'!E28)/'Market Data - EQ'!E28,LN('Market Data - EQ'!E27/'Market Data - EQ'!E28)))</f>
        <v>1.2726758396260321E-2</v>
      </c>
      <c r="K27" s="3">
        <f>IF('Value at Risk'!$C$5=0,'Market Data - EQ'!F27-'Market Data - EQ'!F28,IF('Value at Risk'!$C$6=0,('Market Data - EQ'!F27-'Market Data - EQ'!F28)/'Market Data - EQ'!F28,LN('Market Data - EQ'!F27/'Market Data - EQ'!F28)))</f>
        <v>-3.3123550844650546E-3</v>
      </c>
      <c r="L27" s="8">
        <f t="shared" si="0"/>
        <v>7.3301750356950923E-3</v>
      </c>
    </row>
    <row r="28" spans="1:12" x14ac:dyDescent="0.25">
      <c r="A28" s="5">
        <v>43794</v>
      </c>
      <c r="B28" s="4">
        <v>1271.099976</v>
      </c>
      <c r="C28" s="4">
        <v>336.10000600000001</v>
      </c>
      <c r="D28" s="4">
        <v>497.79998799999998</v>
      </c>
      <c r="E28" s="4">
        <v>1496.849976</v>
      </c>
      <c r="F28" s="4">
        <v>754.75</v>
      </c>
      <c r="G28" s="3">
        <f>IF('Value at Risk'!$C$5=0,'Market Data - EQ'!B28-'Market Data - EQ'!B29,IF('Value at Risk'!$C$6=0,('Market Data - EQ'!B28-'Market Data - EQ'!B29)/'Market Data - EQ'!B29,LN('Market Data - EQ'!B28/'Market Data - EQ'!B29)))</f>
        <v>5.020736113856469E-3</v>
      </c>
      <c r="H28" s="3">
        <f>IF('Value at Risk'!$C$5=0,'Market Data - EQ'!C28-'Market Data - EQ'!C29,IF('Value at Risk'!$C$6=0,('Market Data - EQ'!C28-'Market Data - EQ'!C29)/'Market Data - EQ'!C29,LN('Market Data - EQ'!C28/'Market Data - EQ'!C29)))</f>
        <v>2.064991876039796E-2</v>
      </c>
      <c r="I28" s="3">
        <f>IF('Value at Risk'!$C$5=0,'Market Data - EQ'!D28-'Market Data - EQ'!D29,IF('Value at Risk'!$C$6=0,('Market Data - EQ'!D28-'Market Data - EQ'!D29)/'Market Data - EQ'!D29,LN('Market Data - EQ'!D28/'Market Data - EQ'!D29)))</f>
        <v>2.0128824962854066E-3</v>
      </c>
      <c r="J28" s="3">
        <f>IF('Value at Risk'!$C$5=0,'Market Data - EQ'!E28-'Market Data - EQ'!E29,IF('Value at Risk'!$C$6=0,('Market Data - EQ'!E28-'Market Data - EQ'!E29)/'Market Data - EQ'!E29,LN('Market Data - EQ'!E28/'Market Data - EQ'!E29)))</f>
        <v>3.5058570105863329E-2</v>
      </c>
      <c r="K28" s="3">
        <f>IF('Value at Risk'!$C$5=0,'Market Data - EQ'!F28-'Market Data - EQ'!F29,IF('Value at Risk'!$C$6=0,('Market Data - EQ'!F28-'Market Data - EQ'!F29)/'Market Data - EQ'!F29,LN('Market Data - EQ'!F28/'Market Data - EQ'!F29)))</f>
        <v>3.0938430190578275E-2</v>
      </c>
      <c r="L28" s="8">
        <f t="shared" si="0"/>
        <v>1.8736107533396287E-2</v>
      </c>
    </row>
    <row r="29" spans="1:12" x14ac:dyDescent="0.25">
      <c r="A29" s="5">
        <v>43791</v>
      </c>
      <c r="B29" s="4">
        <v>1264.75</v>
      </c>
      <c r="C29" s="4">
        <v>329.29998799999998</v>
      </c>
      <c r="D29" s="4">
        <v>496.79998799999998</v>
      </c>
      <c r="E29" s="4">
        <v>1446.150024</v>
      </c>
      <c r="F29" s="4">
        <v>732.09997599999997</v>
      </c>
      <c r="G29" s="3">
        <f>IF('Value at Risk'!$C$5=0,'Market Data - EQ'!B29-'Market Data - EQ'!B30,IF('Value at Risk'!$C$6=0,('Market Data - EQ'!B29-'Market Data - EQ'!B30)/'Market Data - EQ'!B30,LN('Market Data - EQ'!B29/'Market Data - EQ'!B30)))</f>
        <v>-1.4493299838578069E-2</v>
      </c>
      <c r="H29" s="3">
        <f>IF('Value at Risk'!$C$5=0,'Market Data - EQ'!C29-'Market Data - EQ'!C30,IF('Value at Risk'!$C$6=0,('Market Data - EQ'!C29-'Market Data - EQ'!C30)/'Market Data - EQ'!C30,LN('Market Data - EQ'!C29/'Market Data - EQ'!C30)))</f>
        <v>-6.1868657397882252E-3</v>
      </c>
      <c r="I29" s="3">
        <f>IF('Value at Risk'!$C$5=0,'Market Data - EQ'!D29-'Market Data - EQ'!D30,IF('Value at Risk'!$C$6=0,('Market Data - EQ'!D29-'Market Data - EQ'!D30)/'Market Data - EQ'!D30,LN('Market Data - EQ'!D29/'Market Data - EQ'!D30)))</f>
        <v>-2.9102097340692728E-3</v>
      </c>
      <c r="J29" s="3">
        <f>IF('Value at Risk'!$C$5=0,'Market Data - EQ'!E29-'Market Data - EQ'!E30,IF('Value at Risk'!$C$6=0,('Market Data - EQ'!E29-'Market Data - EQ'!E30)/'Market Data - EQ'!E30,LN('Market Data - EQ'!E29/'Market Data - EQ'!E30)))</f>
        <v>0</v>
      </c>
      <c r="K29" s="3">
        <f>IF('Value at Risk'!$C$5=0,'Market Data - EQ'!F29-'Market Data - EQ'!F30,IF('Value at Risk'!$C$6=0,('Market Data - EQ'!F29-'Market Data - EQ'!F30)/'Market Data - EQ'!F30,LN('Market Data - EQ'!F29/'Market Data - EQ'!F30)))</f>
        <v>-7.1874801023874939E-3</v>
      </c>
      <c r="L29" s="8">
        <f t="shared" si="0"/>
        <v>-6.155571082964612E-3</v>
      </c>
    </row>
    <row r="30" spans="1:12" x14ac:dyDescent="0.25">
      <c r="A30" s="5">
        <v>43790</v>
      </c>
      <c r="B30" s="4">
        <v>1283.349976</v>
      </c>
      <c r="C30" s="4">
        <v>331.35000600000001</v>
      </c>
      <c r="D30" s="4">
        <v>498.25</v>
      </c>
      <c r="E30" s="4">
        <v>1446.150024</v>
      </c>
      <c r="F30" s="4">
        <v>737.40002400000003</v>
      </c>
      <c r="G30" s="3">
        <f>IF('Value at Risk'!$C$5=0,'Market Data - EQ'!B30-'Market Data - EQ'!B31,IF('Value at Risk'!$C$6=0,('Market Data - EQ'!B30-'Market Data - EQ'!B31)/'Market Data - EQ'!B31,LN('Market Data - EQ'!B30/'Market Data - EQ'!B31)))</f>
        <v>7.8533004974902527E-3</v>
      </c>
      <c r="H30" s="3">
        <f>IF('Value at Risk'!$C$5=0,'Market Data - EQ'!C30-'Market Data - EQ'!C31,IF('Value at Risk'!$C$6=0,('Market Data - EQ'!C30-'Market Data - EQ'!C31)/'Market Data - EQ'!C31,LN('Market Data - EQ'!C30/'Market Data - EQ'!C31)))</f>
        <v>7.7555294801288826E-3</v>
      </c>
      <c r="I30" s="3">
        <f>IF('Value at Risk'!$C$5=0,'Market Data - EQ'!D30-'Market Data - EQ'!D31,IF('Value at Risk'!$C$6=0,('Market Data - EQ'!D30-'Market Data - EQ'!D31)/'Market Data - EQ'!D31,LN('Market Data - EQ'!D30/'Market Data - EQ'!D31)))</f>
        <v>6.5656565656565654E-3</v>
      </c>
      <c r="J30" s="3">
        <f>IF('Value at Risk'!$C$5=0,'Market Data - EQ'!E30-'Market Data - EQ'!E31,IF('Value at Risk'!$C$6=0,('Market Data - EQ'!E30-'Market Data - EQ'!E31)/'Market Data - EQ'!E31,LN('Market Data - EQ'!E30/'Market Data - EQ'!E31)))</f>
        <v>-1.5755818572085214E-2</v>
      </c>
      <c r="K30" s="3">
        <f>IF('Value at Risk'!$C$5=0,'Market Data - EQ'!F30-'Market Data - EQ'!F31,IF('Value at Risk'!$C$6=0,('Market Data - EQ'!F30-'Market Data - EQ'!F31)/'Market Data - EQ'!F31,LN('Market Data - EQ'!F30/'Market Data - EQ'!F31)))</f>
        <v>-1.5158565609348874E-2</v>
      </c>
      <c r="L30" s="8">
        <f t="shared" si="0"/>
        <v>-1.747979527631677E-3</v>
      </c>
    </row>
    <row r="31" spans="1:12" x14ac:dyDescent="0.25">
      <c r="A31" s="5">
        <v>43789</v>
      </c>
      <c r="B31" s="4">
        <v>1273.349976</v>
      </c>
      <c r="C31" s="4">
        <v>328.79998799999998</v>
      </c>
      <c r="D31" s="4">
        <v>495</v>
      </c>
      <c r="E31" s="4">
        <v>1469.3000489999999</v>
      </c>
      <c r="F31" s="4">
        <v>748.75</v>
      </c>
      <c r="G31" s="3">
        <f>IF('Value at Risk'!$C$5=0,'Market Data - EQ'!B31-'Market Data - EQ'!B32,IF('Value at Risk'!$C$6=0,('Market Data - EQ'!B31-'Market Data - EQ'!B32)/'Market Data - EQ'!B32,LN('Market Data - EQ'!B31/'Market Data - EQ'!B32)))</f>
        <v>1.1399889713343847E-3</v>
      </c>
      <c r="H31" s="3">
        <f>IF('Value at Risk'!$C$5=0,'Market Data - EQ'!C31-'Market Data - EQ'!C32,IF('Value at Risk'!$C$6=0,('Market Data - EQ'!C31-'Market Data - EQ'!C32)/'Market Data - EQ'!C32,LN('Market Data - EQ'!C31/'Market Data - EQ'!C32)))</f>
        <v>-4.842633259854138E-3</v>
      </c>
      <c r="I31" s="3">
        <f>IF('Value at Risk'!$C$5=0,'Market Data - EQ'!D31-'Market Data - EQ'!D32,IF('Value at Risk'!$C$6=0,('Market Data - EQ'!D31-'Market Data - EQ'!D32)/'Market Data - EQ'!D32,LN('Market Data - EQ'!D31/'Market Data - EQ'!D32)))</f>
        <v>3.0395136778115501E-3</v>
      </c>
      <c r="J31" s="3">
        <f>IF('Value at Risk'!$C$5=0,'Market Data - EQ'!E31-'Market Data - EQ'!E32,IF('Value at Risk'!$C$6=0,('Market Data - EQ'!E31-'Market Data - EQ'!E32)/'Market Data - EQ'!E32,LN('Market Data - EQ'!E31/'Market Data - EQ'!E32)))</f>
        <v>5.4963237479806096E-2</v>
      </c>
      <c r="K31" s="3">
        <f>IF('Value at Risk'!$C$5=0,'Market Data - EQ'!F31-'Market Data - EQ'!F32,IF('Value at Risk'!$C$6=0,('Market Data - EQ'!F31-'Market Data - EQ'!F32)/'Market Data - EQ'!F32,LN('Market Data - EQ'!F31/'Market Data - EQ'!F32)))</f>
        <v>1.2704092207073093E-3</v>
      </c>
      <c r="L31" s="8">
        <f t="shared" si="0"/>
        <v>1.111410321796104E-2</v>
      </c>
    </row>
    <row r="32" spans="1:12" x14ac:dyDescent="0.25">
      <c r="A32" s="5">
        <v>43788</v>
      </c>
      <c r="B32" s="4">
        <v>1271.900024</v>
      </c>
      <c r="C32" s="4">
        <v>330.39999399999999</v>
      </c>
      <c r="D32" s="4">
        <v>493.5</v>
      </c>
      <c r="E32" s="4">
        <v>1392.75</v>
      </c>
      <c r="F32" s="4">
        <v>747.79998799999998</v>
      </c>
      <c r="G32" s="3">
        <f>IF('Value at Risk'!$C$5=0,'Market Data - EQ'!B32-'Market Data - EQ'!B33,IF('Value at Risk'!$C$6=0,('Market Data - EQ'!B32-'Market Data - EQ'!B33)/'Market Data - EQ'!B33,LN('Market Data - EQ'!B32/'Market Data - EQ'!B33)))</f>
        <v>7.8047419813539317E-3</v>
      </c>
      <c r="H32" s="3">
        <f>IF('Value at Risk'!$C$5=0,'Market Data - EQ'!C32-'Market Data - EQ'!C33,IF('Value at Risk'!$C$6=0,('Market Data - EQ'!C32-'Market Data - EQ'!C33)/'Market Data - EQ'!C33,LN('Market Data - EQ'!C32/'Market Data - EQ'!C33)))</f>
        <v>1.6302638887062907E-2</v>
      </c>
      <c r="I32" s="3">
        <f>IF('Value at Risk'!$C$5=0,'Market Data - EQ'!D32-'Market Data - EQ'!D33,IF('Value at Risk'!$C$6=0,('Market Data - EQ'!D32-'Market Data - EQ'!D33)/'Market Data - EQ'!D33,LN('Market Data - EQ'!D32/'Market Data - EQ'!D33)))</f>
        <v>-9.7321279053019759E-3</v>
      </c>
      <c r="J32" s="3">
        <f>IF('Value at Risk'!$C$5=0,'Market Data - EQ'!E32-'Market Data - EQ'!E33,IF('Value at Risk'!$C$6=0,('Market Data - EQ'!E32-'Market Data - EQ'!E33)/'Market Data - EQ'!E33,LN('Market Data - EQ'!E32/'Market Data - EQ'!E33)))</f>
        <v>1.3351262863482E-2</v>
      </c>
      <c r="K32" s="3">
        <f>IF('Value at Risk'!$C$5=0,'Market Data - EQ'!F32-'Market Data - EQ'!F33,IF('Value at Risk'!$C$6=0,('Market Data - EQ'!F32-'Market Data - EQ'!F33)/'Market Data - EQ'!F33,LN('Market Data - EQ'!F32/'Market Data - EQ'!F33)))</f>
        <v>3.4373021076870763E-2</v>
      </c>
      <c r="L32" s="8">
        <f t="shared" si="0"/>
        <v>1.2419907380693526E-2</v>
      </c>
    </row>
    <row r="33" spans="1:12" x14ac:dyDescent="0.25">
      <c r="A33" s="5">
        <v>43787</v>
      </c>
      <c r="B33" s="4">
        <v>1262.0500489999999</v>
      </c>
      <c r="C33" s="4">
        <v>325.10000600000001</v>
      </c>
      <c r="D33" s="4">
        <v>498.35000600000001</v>
      </c>
      <c r="E33" s="4">
        <v>1374.400024</v>
      </c>
      <c r="F33" s="4">
        <v>722.95001200000002</v>
      </c>
      <c r="G33" s="3">
        <f>IF('Value at Risk'!$C$5=0,'Market Data - EQ'!B33-'Market Data - EQ'!B34,IF('Value at Risk'!$C$6=0,('Market Data - EQ'!B33-'Market Data - EQ'!B34)/'Market Data - EQ'!B34,LN('Market Data - EQ'!B33/'Market Data - EQ'!B34)))</f>
        <v>-1.2403141640445016E-2</v>
      </c>
      <c r="H33" s="3">
        <f>IF('Value at Risk'!$C$5=0,'Market Data - EQ'!C33-'Market Data - EQ'!C34,IF('Value at Risk'!$C$6=0,('Market Data - EQ'!C33-'Market Data - EQ'!C34)/'Market Data - EQ'!C34,LN('Market Data - EQ'!C33/'Market Data - EQ'!C34)))</f>
        <v>9.9410129221686634E-3</v>
      </c>
      <c r="I33" s="3">
        <f>IF('Value at Risk'!$C$5=0,'Market Data - EQ'!D33-'Market Data - EQ'!D34,IF('Value at Risk'!$C$6=0,('Market Data - EQ'!D33-'Market Data - EQ'!D34)/'Market Data - EQ'!D34,LN('Market Data - EQ'!D33/'Market Data - EQ'!D34)))</f>
        <v>-3.000900234059415E-3</v>
      </c>
      <c r="J33" s="3">
        <f>IF('Value at Risk'!$C$5=0,'Market Data - EQ'!E33-'Market Data - EQ'!E34,IF('Value at Risk'!$C$6=0,('Market Data - EQ'!E33-'Market Data - EQ'!E34)/'Market Data - EQ'!E34,LN('Market Data - EQ'!E33/'Market Data - EQ'!E34)))</f>
        <v>1.1331879323031663E-2</v>
      </c>
      <c r="K33" s="3">
        <f>IF('Value at Risk'!$C$5=0,'Market Data - EQ'!F33-'Market Data - EQ'!F34,IF('Value at Risk'!$C$6=0,('Market Data - EQ'!F33-'Market Data - EQ'!F34)/'Market Data - EQ'!F34,LN('Market Data - EQ'!F33/'Market Data - EQ'!F34)))</f>
        <v>8.4390958257242084E-3</v>
      </c>
      <c r="L33" s="8">
        <f t="shared" si="0"/>
        <v>2.8615892392840209E-3</v>
      </c>
    </row>
    <row r="34" spans="1:12" x14ac:dyDescent="0.25">
      <c r="A34" s="5">
        <v>43784</v>
      </c>
      <c r="B34" s="4">
        <v>1277.900024</v>
      </c>
      <c r="C34" s="4">
        <v>321.89999399999999</v>
      </c>
      <c r="D34" s="4">
        <v>499.85000600000001</v>
      </c>
      <c r="E34" s="4">
        <v>1359</v>
      </c>
      <c r="F34" s="4">
        <v>716.90002400000003</v>
      </c>
      <c r="G34" s="3">
        <f>IF('Value at Risk'!$C$5=0,'Market Data - EQ'!B34-'Market Data - EQ'!B35,IF('Value at Risk'!$C$6=0,('Market Data - EQ'!B34-'Market Data - EQ'!B35)/'Market Data - EQ'!B35,LN('Market Data - EQ'!B34/'Market Data - EQ'!B35)))</f>
        <v>3.1399638312590221E-3</v>
      </c>
      <c r="H34" s="3">
        <f>IF('Value at Risk'!$C$5=0,'Market Data - EQ'!C34-'Market Data - EQ'!C35,IF('Value at Risk'!$C$6=0,('Market Data - EQ'!C34-'Market Data - EQ'!C35)/'Market Data - EQ'!C35,LN('Market Data - EQ'!C34/'Market Data - EQ'!C35)))</f>
        <v>5.1960764705882331E-2</v>
      </c>
      <c r="I34" s="3">
        <f>IF('Value at Risk'!$C$5=0,'Market Data - EQ'!D34-'Market Data - EQ'!D35,IF('Value at Risk'!$C$6=0,('Market Data - EQ'!D34-'Market Data - EQ'!D35)/'Market Data - EQ'!D35,LN('Market Data - EQ'!D34/'Market Data - EQ'!D35)))</f>
        <v>2.4065216372989974E-3</v>
      </c>
      <c r="J34" s="3">
        <f>IF('Value at Risk'!$C$5=0,'Market Data - EQ'!E34-'Market Data - EQ'!E35,IF('Value at Risk'!$C$6=0,('Market Data - EQ'!E34-'Market Data - EQ'!E35)/'Market Data - EQ'!E35,LN('Market Data - EQ'!E34/'Market Data - EQ'!E35)))</f>
        <v>-1.170822215184154E-2</v>
      </c>
      <c r="K34" s="3">
        <f>IF('Value at Risk'!$C$5=0,'Market Data - EQ'!F34-'Market Data - EQ'!F35,IF('Value at Risk'!$C$6=0,('Market Data - EQ'!F34-'Market Data - EQ'!F35)/'Market Data - EQ'!F35,LN('Market Data - EQ'!F34/'Market Data - EQ'!F35)))</f>
        <v>1.3968430876878976E-3</v>
      </c>
      <c r="L34" s="8">
        <f t="shared" si="0"/>
        <v>9.4391742220573428E-3</v>
      </c>
    </row>
    <row r="35" spans="1:12" x14ac:dyDescent="0.25">
      <c r="A35" s="5">
        <v>43783</v>
      </c>
      <c r="B35" s="4">
        <v>1273.900024</v>
      </c>
      <c r="C35" s="4">
        <v>306</v>
      </c>
      <c r="D35" s="4">
        <v>498.64999399999999</v>
      </c>
      <c r="E35" s="4">
        <v>1375.099976</v>
      </c>
      <c r="F35" s="4">
        <v>715.90002400000003</v>
      </c>
      <c r="G35" s="3">
        <f>IF('Value at Risk'!$C$5=0,'Market Data - EQ'!B35-'Market Data - EQ'!B36,IF('Value at Risk'!$C$6=0,('Market Data - EQ'!B35-'Market Data - EQ'!B36)/'Market Data - EQ'!B36,LN('Market Data - EQ'!B35/'Market Data - EQ'!B36)))</f>
        <v>1.3001450727946404E-2</v>
      </c>
      <c r="H35" s="3">
        <f>IF('Value at Risk'!$C$5=0,'Market Data - EQ'!C35-'Market Data - EQ'!C36,IF('Value at Risk'!$C$6=0,('Market Data - EQ'!C35-'Market Data - EQ'!C36)/'Market Data - EQ'!C36,LN('Market Data - EQ'!C35/'Market Data - EQ'!C36)))</f>
        <v>-2.6075229181559971E-3</v>
      </c>
      <c r="I35" s="3">
        <f>IF('Value at Risk'!$C$5=0,'Market Data - EQ'!D35-'Market Data - EQ'!D36,IF('Value at Risk'!$C$6=0,('Market Data - EQ'!D35-'Market Data - EQ'!D36)/'Market Data - EQ'!D36,LN('Market Data - EQ'!D35/'Market Data - EQ'!D36)))</f>
        <v>2.6556858466289229E-2</v>
      </c>
      <c r="J35" s="3">
        <f>IF('Value at Risk'!$C$5=0,'Market Data - EQ'!E35-'Market Data - EQ'!E36,IF('Value at Risk'!$C$6=0,('Market Data - EQ'!E35-'Market Data - EQ'!E36)/'Market Data - EQ'!E36,LN('Market Data - EQ'!E35/'Market Data - EQ'!E36)))</f>
        <v>-2.7648123571459581E-2</v>
      </c>
      <c r="K35" s="3">
        <f>IF('Value at Risk'!$C$5=0,'Market Data - EQ'!F35-'Market Data - EQ'!F36,IF('Value at Risk'!$C$6=0,('Market Data - EQ'!F35-'Market Data - EQ'!F36)/'Market Data - EQ'!F36,LN('Market Data - EQ'!F35/'Market Data - EQ'!F36)))</f>
        <v>6.608565692768879E-3</v>
      </c>
      <c r="L35" s="8">
        <f t="shared" si="0"/>
        <v>3.1822456794777867E-3</v>
      </c>
    </row>
    <row r="36" spans="1:12" x14ac:dyDescent="0.25">
      <c r="A36" s="5">
        <v>43782</v>
      </c>
      <c r="B36" s="4">
        <v>1257.5500489999999</v>
      </c>
      <c r="C36" s="4">
        <v>306.79998799999998</v>
      </c>
      <c r="D36" s="4">
        <v>485.75</v>
      </c>
      <c r="E36" s="4">
        <v>1414.1999510000001</v>
      </c>
      <c r="F36" s="4">
        <v>711.20001200000002</v>
      </c>
      <c r="G36" s="3">
        <f>IF('Value at Risk'!$C$5=0,'Market Data - EQ'!B36-'Market Data - EQ'!B37,IF('Value at Risk'!$C$6=0,('Market Data - EQ'!B36-'Market Data - EQ'!B37)/'Market Data - EQ'!B37,LN('Market Data - EQ'!B36/'Market Data - EQ'!B37)))</f>
        <v>-5.6927859260723903E-3</v>
      </c>
      <c r="H36" s="3">
        <f>IF('Value at Risk'!$C$5=0,'Market Data - EQ'!C36-'Market Data - EQ'!C37,IF('Value at Risk'!$C$6=0,('Market Data - EQ'!C36-'Market Data - EQ'!C37)/'Market Data - EQ'!C37,LN('Market Data - EQ'!C36/'Market Data - EQ'!C37)))</f>
        <v>-3.597804241948159E-2</v>
      </c>
      <c r="I36" s="3">
        <f>IF('Value at Risk'!$C$5=0,'Market Data - EQ'!D36-'Market Data - EQ'!D37,IF('Value at Risk'!$C$6=0,('Market Data - EQ'!D36-'Market Data - EQ'!D37)/'Market Data - EQ'!D37,LN('Market Data - EQ'!D36/'Market Data - EQ'!D37)))</f>
        <v>-2.2242327429363756E-2</v>
      </c>
      <c r="J36" s="3">
        <f>IF('Value at Risk'!$C$5=0,'Market Data - EQ'!E36-'Market Data - EQ'!E37,IF('Value at Risk'!$C$6=0,('Market Data - EQ'!E36-'Market Data - EQ'!E37)/'Market Data - EQ'!E37,LN('Market Data - EQ'!E36/'Market Data - EQ'!E37)))</f>
        <v>-2.1348809351862032E-2</v>
      </c>
      <c r="K36" s="3">
        <f>IF('Value at Risk'!$C$5=0,'Market Data - EQ'!F36-'Market Data - EQ'!F37,IF('Value at Risk'!$C$6=0,('Market Data - EQ'!F36-'Market Data - EQ'!F37)/'Market Data - EQ'!F37,LN('Market Data - EQ'!F36/'Market Data - EQ'!F37)))</f>
        <v>-3.0666484437784088E-2</v>
      </c>
      <c r="L36" s="8">
        <f t="shared" si="0"/>
        <v>-2.3185689912912772E-2</v>
      </c>
    </row>
    <row r="37" spans="1:12" x14ac:dyDescent="0.25">
      <c r="A37" s="5">
        <v>43780</v>
      </c>
      <c r="B37" s="4">
        <v>1264.75</v>
      </c>
      <c r="C37" s="4">
        <v>318.25</v>
      </c>
      <c r="D37" s="4">
        <v>496.79998799999998</v>
      </c>
      <c r="E37" s="4">
        <v>1445.0500489999999</v>
      </c>
      <c r="F37" s="4">
        <v>733.70001200000002</v>
      </c>
      <c r="G37" s="3">
        <f>IF('Value at Risk'!$C$5=0,'Market Data - EQ'!B37-'Market Data - EQ'!B38,IF('Value at Risk'!$C$6=0,('Market Data - EQ'!B37-'Market Data - EQ'!B38)/'Market Data - EQ'!B38,LN('Market Data - EQ'!B37/'Market Data - EQ'!B38)))</f>
        <v>7.2873719137439919E-3</v>
      </c>
      <c r="H37" s="3">
        <f>IF('Value at Risk'!$C$5=0,'Market Data - EQ'!C37-'Market Data - EQ'!C38,IF('Value at Risk'!$C$6=0,('Market Data - EQ'!C37-'Market Data - EQ'!C38)/'Market Data - EQ'!C38,LN('Market Data - EQ'!C37/'Market Data - EQ'!C38)))</f>
        <v>7.1202531645569618E-3</v>
      </c>
      <c r="I37" s="3">
        <f>IF('Value at Risk'!$C$5=0,'Market Data - EQ'!D37-'Market Data - EQ'!D38,IF('Value at Risk'!$C$6=0,('Market Data - EQ'!D37-'Market Data - EQ'!D38)/'Market Data - EQ'!D38,LN('Market Data - EQ'!D37/'Market Data - EQ'!D38)))</f>
        <v>1.5016806251503308E-2</v>
      </c>
      <c r="J37" s="3">
        <f>IF('Value at Risk'!$C$5=0,'Market Data - EQ'!E37-'Market Data - EQ'!E38,IF('Value at Risk'!$C$6=0,('Market Data - EQ'!E37-'Market Data - EQ'!E38)/'Market Data - EQ'!E38,LN('Market Data - EQ'!E37/'Market Data - EQ'!E38)))</f>
        <v>1.5638177701524664E-2</v>
      </c>
      <c r="K37" s="3">
        <f>IF('Value at Risk'!$C$5=0,'Market Data - EQ'!F37-'Market Data - EQ'!F38,IF('Value at Risk'!$C$6=0,('Market Data - EQ'!F37-'Market Data - EQ'!F38)/'Market Data - EQ'!F38,LN('Market Data - EQ'!F37/'Market Data - EQ'!F38)))</f>
        <v>1.130256650585805E-2</v>
      </c>
      <c r="L37" s="8">
        <f t="shared" si="0"/>
        <v>1.1273035107437396E-2</v>
      </c>
    </row>
    <row r="38" spans="1:12" x14ac:dyDescent="0.25">
      <c r="A38" s="5">
        <v>43777</v>
      </c>
      <c r="B38" s="4">
        <v>1255.599976</v>
      </c>
      <c r="C38" s="4">
        <v>316</v>
      </c>
      <c r="D38" s="4">
        <v>489.45001200000002</v>
      </c>
      <c r="E38" s="4">
        <v>1422.8000489999999</v>
      </c>
      <c r="F38" s="4">
        <v>725.5</v>
      </c>
      <c r="G38" s="3">
        <f>IF('Value at Risk'!$C$5=0,'Market Data - EQ'!B38-'Market Data - EQ'!B39,IF('Value at Risk'!$C$6=0,('Market Data - EQ'!B38-'Market Data - EQ'!B39)/'Market Data - EQ'!B39,LN('Market Data - EQ'!B38/'Market Data - EQ'!B39)))</f>
        <v>-6.4097296146845267E-3</v>
      </c>
      <c r="H38" s="3">
        <f>IF('Value at Risk'!$C$5=0,'Market Data - EQ'!C38-'Market Data - EQ'!C39,IF('Value at Risk'!$C$6=0,('Market Data - EQ'!C38-'Market Data - EQ'!C39)/'Market Data - EQ'!C39,LN('Market Data - EQ'!C38/'Market Data - EQ'!C39)))</f>
        <v>-6.7577999074235166E-3</v>
      </c>
      <c r="I38" s="3">
        <f>IF('Value at Risk'!$C$5=0,'Market Data - EQ'!D38-'Market Data - EQ'!D39,IF('Value at Risk'!$C$6=0,('Market Data - EQ'!D38-'Market Data - EQ'!D39)/'Market Data - EQ'!D39,LN('Market Data - EQ'!D38/'Market Data - EQ'!D39)))</f>
        <v>2.2777189997547406E-2</v>
      </c>
      <c r="J38" s="3">
        <f>IF('Value at Risk'!$C$5=0,'Market Data - EQ'!E38-'Market Data - EQ'!E39,IF('Value at Risk'!$C$6=0,('Market Data - EQ'!E38-'Market Data - EQ'!E39)/'Market Data - EQ'!E39,LN('Market Data - EQ'!E38/'Market Data - EQ'!E39)))</f>
        <v>2.9596949337631615E-2</v>
      </c>
      <c r="K38" s="3">
        <f>IF('Value at Risk'!$C$5=0,'Market Data - EQ'!F38-'Market Data - EQ'!F39,IF('Value at Risk'!$C$6=0,('Market Data - EQ'!F38-'Market Data - EQ'!F39)/'Market Data - EQ'!F39,LN('Market Data - EQ'!F38/'Market Data - EQ'!F39)))</f>
        <v>-1.2589316093909493E-2</v>
      </c>
      <c r="L38" s="8">
        <f t="shared" si="0"/>
        <v>5.3234587438322958E-3</v>
      </c>
    </row>
    <row r="39" spans="1:12" x14ac:dyDescent="0.25">
      <c r="A39" s="5">
        <v>43776</v>
      </c>
      <c r="B39" s="4">
        <v>1263.6999510000001</v>
      </c>
      <c r="C39" s="4">
        <v>318.14999399999999</v>
      </c>
      <c r="D39" s="4">
        <v>478.54998799999998</v>
      </c>
      <c r="E39" s="4">
        <v>1381.900024</v>
      </c>
      <c r="F39" s="4">
        <v>734.75</v>
      </c>
      <c r="G39" s="3">
        <f>IF('Value at Risk'!$C$5=0,'Market Data - EQ'!B39-'Market Data - EQ'!B40,IF('Value at Risk'!$C$6=0,('Market Data - EQ'!B39-'Market Data - EQ'!B40)/'Market Data - EQ'!B40,LN('Market Data - EQ'!B39/'Market Data - EQ'!B40)))</f>
        <v>5.6100957827220996E-3</v>
      </c>
      <c r="H39" s="3">
        <f>IF('Value at Risk'!$C$5=0,'Market Data - EQ'!C39-'Market Data - EQ'!C40,IF('Value at Risk'!$C$6=0,('Market Data - EQ'!C39-'Market Data - EQ'!C40)/'Market Data - EQ'!C40,LN('Market Data - EQ'!C39/'Market Data - EQ'!C40)))</f>
        <v>1.889485191855865E-3</v>
      </c>
      <c r="I39" s="3">
        <f>IF('Value at Risk'!$C$5=0,'Market Data - EQ'!D39-'Market Data - EQ'!D40,IF('Value at Risk'!$C$6=0,('Market Data - EQ'!D39-'Market Data - EQ'!D40)/'Market Data - EQ'!D40,LN('Market Data - EQ'!D39/'Market Data - EQ'!D40)))</f>
        <v>-4.4726938762798081E-3</v>
      </c>
      <c r="J39" s="3">
        <f>IF('Value at Risk'!$C$5=0,'Market Data - EQ'!E39-'Market Data - EQ'!E40,IF('Value at Risk'!$C$6=0,('Market Data - EQ'!E39-'Market Data - EQ'!E40)/'Market Data - EQ'!E40,LN('Market Data - EQ'!E39/'Market Data - EQ'!E40)))</f>
        <v>2.8965021593447528E-2</v>
      </c>
      <c r="K39" s="3">
        <f>IF('Value at Risk'!$C$5=0,'Market Data - EQ'!F39-'Market Data - EQ'!F40,IF('Value at Risk'!$C$6=0,('Market Data - EQ'!F39-'Market Data - EQ'!F40)/'Market Data - EQ'!F40,LN('Market Data - EQ'!F39/'Market Data - EQ'!F40)))</f>
        <v>-1.6728002676480429E-2</v>
      </c>
      <c r="L39" s="8">
        <f t="shared" si="0"/>
        <v>3.0527812030530519E-3</v>
      </c>
    </row>
    <row r="40" spans="1:12" x14ac:dyDescent="0.25">
      <c r="A40" s="5">
        <v>43775</v>
      </c>
      <c r="B40" s="4">
        <v>1256.650024</v>
      </c>
      <c r="C40" s="4">
        <v>317.54998799999998</v>
      </c>
      <c r="D40" s="4">
        <v>480.70001200000002</v>
      </c>
      <c r="E40" s="4">
        <v>1343</v>
      </c>
      <c r="F40" s="4">
        <v>747.25</v>
      </c>
      <c r="G40" s="3">
        <f>IF('Value at Risk'!$C$5=0,'Market Data - EQ'!B40-'Market Data - EQ'!B41,IF('Value at Risk'!$C$6=0,('Market Data - EQ'!B40-'Market Data - EQ'!B41)/'Market Data - EQ'!B41,LN('Market Data - EQ'!B40/'Market Data - EQ'!B41)))</f>
        <v>1.3836243646631731E-2</v>
      </c>
      <c r="H40" s="3">
        <f>IF('Value at Risk'!$C$5=0,'Market Data - EQ'!C40-'Market Data - EQ'!C41,IF('Value at Risk'!$C$6=0,('Market Data - EQ'!C40-'Market Data - EQ'!C41)/'Market Data - EQ'!C41,LN('Market Data - EQ'!C40/'Market Data - EQ'!C41)))</f>
        <v>-5.169247925968218E-3</v>
      </c>
      <c r="I40" s="3">
        <f>IF('Value at Risk'!$C$5=0,'Market Data - EQ'!D40-'Market Data - EQ'!D41,IF('Value at Risk'!$C$6=0,('Market Data - EQ'!D40-'Market Data - EQ'!D41)/'Market Data - EQ'!D41,LN('Market Data - EQ'!D40/'Market Data - EQ'!D41)))</f>
        <v>2.63691808301162E-2</v>
      </c>
      <c r="J40" s="3">
        <f>IF('Value at Risk'!$C$5=0,'Market Data - EQ'!E40-'Market Data - EQ'!E41,IF('Value at Risk'!$C$6=0,('Market Data - EQ'!E40-'Market Data - EQ'!E41)/'Market Data - EQ'!E41,LN('Market Data - EQ'!E40/'Market Data - EQ'!E41)))</f>
        <v>1.7347189164709165E-2</v>
      </c>
      <c r="K40" s="3">
        <f>IF('Value at Risk'!$C$5=0,'Market Data - EQ'!F40-'Market Data - EQ'!F41,IF('Value at Risk'!$C$6=0,('Market Data - EQ'!F40-'Market Data - EQ'!F41)/'Market Data - EQ'!F41,LN('Market Data - EQ'!F40/'Market Data - EQ'!F41)))</f>
        <v>1.2465296591807567E-2</v>
      </c>
      <c r="L40" s="8">
        <f t="shared" si="0"/>
        <v>1.2969732461459289E-2</v>
      </c>
    </row>
    <row r="41" spans="1:12" x14ac:dyDescent="0.25">
      <c r="A41" s="5">
        <v>43774</v>
      </c>
      <c r="B41" s="4">
        <v>1239.5</v>
      </c>
      <c r="C41" s="4">
        <v>319.20001200000002</v>
      </c>
      <c r="D41" s="4">
        <v>468.35000600000001</v>
      </c>
      <c r="E41" s="4">
        <v>1320.099976</v>
      </c>
      <c r="F41" s="4">
        <v>738.04998799999998</v>
      </c>
      <c r="G41" s="3">
        <f>IF('Value at Risk'!$C$5=0,'Market Data - EQ'!B41-'Market Data - EQ'!B42,IF('Value at Risk'!$C$6=0,('Market Data - EQ'!B41-'Market Data - EQ'!B42)/'Market Data - EQ'!B42,LN('Market Data - EQ'!B41/'Market Data - EQ'!B42)))</f>
        <v>2.1425589614112021E-3</v>
      </c>
      <c r="H41" s="3">
        <f>IF('Value at Risk'!$C$5=0,'Market Data - EQ'!C41-'Market Data - EQ'!C42,IF('Value at Risk'!$C$6=0,('Market Data - EQ'!C41-'Market Data - EQ'!C42)/'Market Data - EQ'!C42,LN('Market Data - EQ'!C41/'Market Data - EQ'!C42)))</f>
        <v>1.5590277400837923E-2</v>
      </c>
      <c r="I41" s="3">
        <f>IF('Value at Risk'!$C$5=0,'Market Data - EQ'!D41-'Market Data - EQ'!D42,IF('Value at Risk'!$C$6=0,('Market Data - EQ'!D41-'Market Data - EQ'!D42)/'Market Data - EQ'!D42,LN('Market Data - EQ'!D41/'Market Data - EQ'!D42)))</f>
        <v>-4.5695940488841499E-3</v>
      </c>
      <c r="J41" s="3">
        <f>IF('Value at Risk'!$C$5=0,'Market Data - EQ'!E41-'Market Data - EQ'!E42,IF('Value at Risk'!$C$6=0,('Market Data - EQ'!E41-'Market Data - EQ'!E42)/'Market Data - EQ'!E42,LN('Market Data - EQ'!E41/'Market Data - EQ'!E42)))</f>
        <v>-2.3811337597607361E-2</v>
      </c>
      <c r="K41" s="3">
        <f>IF('Value at Risk'!$C$5=0,'Market Data - EQ'!F41-'Market Data - EQ'!F42,IF('Value at Risk'!$C$6=0,('Market Data - EQ'!F41-'Market Data - EQ'!F42)/'Market Data - EQ'!F42,LN('Market Data - EQ'!F41/'Market Data - EQ'!F42)))</f>
        <v>-6.1271049650558906E-3</v>
      </c>
      <c r="L41" s="8">
        <f t="shared" si="0"/>
        <v>-3.3550400498596556E-3</v>
      </c>
    </row>
    <row r="42" spans="1:12" x14ac:dyDescent="0.25">
      <c r="A42" s="5">
        <v>43773</v>
      </c>
      <c r="B42" s="4">
        <v>1236.849976</v>
      </c>
      <c r="C42" s="4">
        <v>314.29998799999998</v>
      </c>
      <c r="D42" s="4">
        <v>470.5</v>
      </c>
      <c r="E42" s="4">
        <v>1352.3000489999999</v>
      </c>
      <c r="F42" s="4">
        <v>742.59997599999997</v>
      </c>
      <c r="G42" s="3">
        <f>IF('Value at Risk'!$C$5=0,'Market Data - EQ'!B42-'Market Data - EQ'!B43,IF('Value at Risk'!$C$6=0,('Market Data - EQ'!B42-'Market Data - EQ'!B43)/'Market Data - EQ'!B43,LN('Market Data - EQ'!B42/'Market Data - EQ'!B43)))</f>
        <v>-2.5805998738362011E-3</v>
      </c>
      <c r="H42" s="3">
        <f>IF('Value at Risk'!$C$5=0,'Market Data - EQ'!C42-'Market Data - EQ'!C43,IF('Value at Risk'!$C$6=0,('Market Data - EQ'!C42-'Market Data - EQ'!C43)/'Market Data - EQ'!C43,LN('Market Data - EQ'!C42/'Market Data - EQ'!C43)))</f>
        <v>2.3919630958493293E-3</v>
      </c>
      <c r="I42" s="3">
        <f>IF('Value at Risk'!$C$5=0,'Market Data - EQ'!D42-'Market Data - EQ'!D43,IF('Value at Risk'!$C$6=0,('Market Data - EQ'!D42-'Market Data - EQ'!D43)/'Market Data - EQ'!D43,LN('Market Data - EQ'!D42/'Market Data - EQ'!D43)))</f>
        <v>1.7847485127095726E-2</v>
      </c>
      <c r="J42" s="3">
        <f>IF('Value at Risk'!$C$5=0,'Market Data - EQ'!E42-'Market Data - EQ'!E43,IF('Value at Risk'!$C$6=0,('Market Data - EQ'!E42-'Market Data - EQ'!E43)/'Market Data - EQ'!E43,LN('Market Data - EQ'!E42/'Market Data - EQ'!E43)))</f>
        <v>-1.9965885769599075E-2</v>
      </c>
      <c r="K42" s="3">
        <f>IF('Value at Risk'!$C$5=0,'Market Data - EQ'!F42-'Market Data - EQ'!F43,IF('Value at Risk'!$C$6=0,('Market Data - EQ'!F42-'Market Data - EQ'!F43)/'Market Data - EQ'!F43,LN('Market Data - EQ'!F42/'Market Data - EQ'!F43)))</f>
        <v>-7.6172819609881051E-3</v>
      </c>
      <c r="L42" s="8">
        <f t="shared" si="0"/>
        <v>-1.9848638762956653E-3</v>
      </c>
    </row>
    <row r="43" spans="1:12" x14ac:dyDescent="0.25">
      <c r="A43" s="5">
        <v>43770</v>
      </c>
      <c r="B43" s="4">
        <v>1240.0500489999999</v>
      </c>
      <c r="C43" s="4">
        <v>313.54998799999998</v>
      </c>
      <c r="D43" s="4">
        <v>462.25</v>
      </c>
      <c r="E43" s="4">
        <v>1379.849976</v>
      </c>
      <c r="F43" s="4">
        <v>748.29998799999998</v>
      </c>
      <c r="G43" s="3">
        <f>IF('Value at Risk'!$C$5=0,'Market Data - EQ'!B43-'Market Data - EQ'!B44,IF('Value at Risk'!$C$6=0,('Market Data - EQ'!B43-'Market Data - EQ'!B44)/'Market Data - EQ'!B44,LN('Market Data - EQ'!B43/'Market Data - EQ'!B44)))</f>
        <v>7.8839949520184121E-3</v>
      </c>
      <c r="H43" s="3">
        <f>IF('Value at Risk'!$C$5=0,'Market Data - EQ'!C43-'Market Data - EQ'!C44,IF('Value at Risk'!$C$6=0,('Market Data - EQ'!C43-'Market Data - EQ'!C44)/'Market Data - EQ'!C44,LN('Market Data - EQ'!C43/'Market Data - EQ'!C44)))</f>
        <v>3.6811588415075081E-3</v>
      </c>
      <c r="I43" s="3">
        <f>IF('Value at Risk'!$C$5=0,'Market Data - EQ'!D43-'Market Data - EQ'!D44,IF('Value at Risk'!$C$6=0,('Market Data - EQ'!D43-'Market Data - EQ'!D44)/'Market Data - EQ'!D44,LN('Market Data - EQ'!D43/'Market Data - EQ'!D44)))</f>
        <v>-1.7276493267072168E-3</v>
      </c>
      <c r="J43" s="3">
        <f>IF('Value at Risk'!$C$5=0,'Market Data - EQ'!E43-'Market Data - EQ'!E44,IF('Value at Risk'!$C$6=0,('Market Data - EQ'!E43-'Market Data - EQ'!E44)/'Market Data - EQ'!E44,LN('Market Data - EQ'!E43/'Market Data - EQ'!E44)))</f>
        <v>5.0753904574277517E-2</v>
      </c>
      <c r="K43" s="3">
        <f>IF('Value at Risk'!$C$5=0,'Market Data - EQ'!F43-'Market Data - EQ'!F44,IF('Value at Risk'!$C$6=0,('Market Data - EQ'!F43-'Market Data - EQ'!F44)/'Market Data - EQ'!F44,LN('Market Data - EQ'!F43/'Market Data - EQ'!F44)))</f>
        <v>1.6228712418671982E-2</v>
      </c>
      <c r="L43" s="8">
        <f t="shared" si="0"/>
        <v>1.5364024291953641E-2</v>
      </c>
    </row>
    <row r="44" spans="1:12" x14ac:dyDescent="0.25">
      <c r="A44" s="5">
        <v>43769</v>
      </c>
      <c r="B44" s="4">
        <v>1230.349976</v>
      </c>
      <c r="C44" s="4">
        <v>312.39999399999999</v>
      </c>
      <c r="D44" s="4">
        <v>463.04998799999998</v>
      </c>
      <c r="E44" s="4">
        <v>1313.1999510000001</v>
      </c>
      <c r="F44" s="4">
        <v>736.34997599999997</v>
      </c>
      <c r="G44" s="3">
        <f>IF('Value at Risk'!$C$5=0,'Market Data - EQ'!B44-'Market Data - EQ'!B45,IF('Value at Risk'!$C$6=0,('Market Data - EQ'!B44-'Market Data - EQ'!B45)/'Market Data - EQ'!B45,LN('Market Data - EQ'!B44/'Market Data - EQ'!B45)))</f>
        <v>-1.4419033400934676E-2</v>
      </c>
      <c r="H44" s="3">
        <f>IF('Value at Risk'!$C$5=0,'Market Data - EQ'!C44-'Market Data - EQ'!C45,IF('Value at Risk'!$C$6=0,('Market Data - EQ'!C44-'Market Data - EQ'!C45)/'Market Data - EQ'!C45,LN('Market Data - EQ'!C44/'Market Data - EQ'!C45)))</f>
        <v>7.7612971595991134E-2</v>
      </c>
      <c r="I44" s="3">
        <f>IF('Value at Risk'!$C$5=0,'Market Data - EQ'!D44-'Market Data - EQ'!D45,IF('Value at Risk'!$C$6=0,('Market Data - EQ'!D44-'Market Data - EQ'!D45)/'Market Data - EQ'!D45,LN('Market Data - EQ'!D44/'Market Data - EQ'!D45)))</f>
        <v>-1.7191990031098267E-2</v>
      </c>
      <c r="J44" s="3">
        <f>IF('Value at Risk'!$C$5=0,'Market Data - EQ'!E44-'Market Data - EQ'!E45,IF('Value at Risk'!$C$6=0,('Market Data - EQ'!E44-'Market Data - EQ'!E45)/'Market Data - EQ'!E45,LN('Market Data - EQ'!E44/'Market Data - EQ'!E45)))</f>
        <v>1.2334258868623715E-2</v>
      </c>
      <c r="K44" s="3">
        <f>IF('Value at Risk'!$C$5=0,'Market Data - EQ'!F44-'Market Data - EQ'!F45,IF('Value at Risk'!$C$6=0,('Market Data - EQ'!F44-'Market Data - EQ'!F45)/'Market Data - EQ'!F45,LN('Market Data - EQ'!F44/'Market Data - EQ'!F45)))</f>
        <v>-1.4784650314648718E-2</v>
      </c>
      <c r="L44" s="8">
        <f t="shared" si="0"/>
        <v>8.7103113435866384E-3</v>
      </c>
    </row>
    <row r="45" spans="1:12" x14ac:dyDescent="0.25">
      <c r="A45" s="5">
        <v>43768</v>
      </c>
      <c r="B45" s="4">
        <v>1248.349976</v>
      </c>
      <c r="C45" s="4">
        <v>289.89999399999999</v>
      </c>
      <c r="D45" s="4">
        <v>471.14999399999999</v>
      </c>
      <c r="E45" s="4">
        <v>1297.1999510000001</v>
      </c>
      <c r="F45" s="4">
        <v>747.40002400000003</v>
      </c>
      <c r="G45" s="3">
        <f>IF('Value at Risk'!$C$5=0,'Market Data - EQ'!B45-'Market Data - EQ'!B46,IF('Value at Risk'!$C$6=0,('Market Data - EQ'!B45-'Market Data - EQ'!B46)/'Market Data - EQ'!B46,LN('Market Data - EQ'!B45/'Market Data - EQ'!B46)))</f>
        <v>4.7082301810864946E-3</v>
      </c>
      <c r="H45" s="3">
        <f>IF('Value at Risk'!$C$5=0,'Market Data - EQ'!C45-'Market Data - EQ'!C46,IF('Value at Risk'!$C$6=0,('Market Data - EQ'!C45-'Market Data - EQ'!C46)/'Market Data - EQ'!C46,LN('Market Data - EQ'!C45/'Market Data - EQ'!C46)))</f>
        <v>3.295920255747449E-2</v>
      </c>
      <c r="I45" s="3">
        <f>IF('Value at Risk'!$C$5=0,'Market Data - EQ'!D45-'Market Data - EQ'!D46,IF('Value at Risk'!$C$6=0,('Market Data - EQ'!D45-'Market Data - EQ'!D46)/'Market Data - EQ'!D46,LN('Market Data - EQ'!D45/'Market Data - EQ'!D46)))</f>
        <v>-1.3091747127252792E-2</v>
      </c>
      <c r="J45" s="3">
        <f>IF('Value at Risk'!$C$5=0,'Market Data - EQ'!E45-'Market Data - EQ'!E46,IF('Value at Risk'!$C$6=0,('Market Data - EQ'!E45-'Market Data - EQ'!E46)/'Market Data - EQ'!E46,LN('Market Data - EQ'!E45/'Market Data - EQ'!E46)))</f>
        <v>-1.3761193131377957E-2</v>
      </c>
      <c r="K45" s="3">
        <f>IF('Value at Risk'!$C$5=0,'Market Data - EQ'!F45-'Market Data - EQ'!F46,IF('Value at Risk'!$C$6=0,('Market Data - EQ'!F45-'Market Data - EQ'!F46)/'Market Data - EQ'!F46,LN('Market Data - EQ'!F45/'Market Data - EQ'!F46)))</f>
        <v>1.2119997094671339E-2</v>
      </c>
      <c r="L45" s="8">
        <f t="shared" si="0"/>
        <v>4.5868979149203144E-3</v>
      </c>
    </row>
    <row r="46" spans="1:12" x14ac:dyDescent="0.25">
      <c r="A46" s="5">
        <v>43767</v>
      </c>
      <c r="B46" s="4">
        <v>1242.5</v>
      </c>
      <c r="C46" s="4">
        <v>280.64999399999999</v>
      </c>
      <c r="D46" s="4">
        <v>477.39999399999999</v>
      </c>
      <c r="E46" s="4">
        <v>1315.3000489999999</v>
      </c>
      <c r="F46" s="4">
        <v>738.45001200000002</v>
      </c>
      <c r="G46" s="3">
        <f>IF('Value at Risk'!$C$5=0,'Market Data - EQ'!B46-'Market Data - EQ'!B47,IF('Value at Risk'!$C$6=0,('Market Data - EQ'!B46-'Market Data - EQ'!B47)/'Market Data - EQ'!B47,LN('Market Data - EQ'!B46/'Market Data - EQ'!B47)))</f>
        <v>5.4622698765931623E-3</v>
      </c>
      <c r="H46" s="3">
        <f>IF('Value at Risk'!$C$5=0,'Market Data - EQ'!C46-'Market Data - EQ'!C47,IF('Value at Risk'!$C$6=0,('Market Data - EQ'!C46-'Market Data - EQ'!C47)/'Market Data - EQ'!C47,LN('Market Data - EQ'!C46/'Market Data - EQ'!C47)))</f>
        <v>-1.6008431675830122E-3</v>
      </c>
      <c r="I46" s="3">
        <f>IF('Value at Risk'!$C$5=0,'Market Data - EQ'!D46-'Market Data - EQ'!D47,IF('Value at Risk'!$C$6=0,('Market Data - EQ'!D46-'Market Data - EQ'!D47)/'Market Data - EQ'!D47,LN('Market Data - EQ'!D46/'Market Data - EQ'!D47)))</f>
        <v>8.7691368198626364E-3</v>
      </c>
      <c r="J46" s="3">
        <f>IF('Value at Risk'!$C$5=0,'Market Data - EQ'!E46-'Market Data - EQ'!E47,IF('Value at Risk'!$C$6=0,('Market Data - EQ'!E46-'Market Data - EQ'!E47)/'Market Data - EQ'!E47,LN('Market Data - EQ'!E46/'Market Data - EQ'!E47)))</f>
        <v>1.6715944252550859E-2</v>
      </c>
      <c r="K46" s="3">
        <f>IF('Value at Risk'!$C$5=0,'Market Data - EQ'!F46-'Market Data - EQ'!F47,IF('Value at Risk'!$C$6=0,('Market Data - EQ'!F46-'Market Data - EQ'!F47)/'Market Data - EQ'!F47,LN('Market Data - EQ'!F46/'Market Data - EQ'!F47)))</f>
        <v>2.0628199611304684E-2</v>
      </c>
      <c r="L46" s="8">
        <f t="shared" si="0"/>
        <v>9.9949414785456651E-3</v>
      </c>
    </row>
    <row r="47" spans="1:12" x14ac:dyDescent="0.25">
      <c r="A47" s="5">
        <v>43765</v>
      </c>
      <c r="B47" s="4">
        <v>1235.75</v>
      </c>
      <c r="C47" s="4">
        <v>281.09999099999999</v>
      </c>
      <c r="D47" s="4">
        <v>473.25</v>
      </c>
      <c r="E47" s="4">
        <v>1293.6750489999999</v>
      </c>
      <c r="F47" s="4">
        <v>723.52499399999999</v>
      </c>
      <c r="G47" s="3">
        <f>IF('Value at Risk'!$C$5=0,'Market Data - EQ'!B47-'Market Data - EQ'!B48,IF('Value at Risk'!$C$6=0,('Market Data - EQ'!B47-'Market Data - EQ'!B48)/'Market Data - EQ'!B48,LN('Market Data - EQ'!B47/'Market Data - EQ'!B48)))</f>
        <v>5.4922701383238407E-3</v>
      </c>
      <c r="H47" s="3">
        <f>IF('Value at Risk'!$C$5=0,'Market Data - EQ'!C47-'Market Data - EQ'!C48,IF('Value at Risk'!$C$6=0,('Market Data - EQ'!C47-'Market Data - EQ'!C48)/'Market Data - EQ'!C48,LN('Market Data - EQ'!C47/'Market Data - EQ'!C48)))</f>
        <v>-1.5982845646578263E-3</v>
      </c>
      <c r="I47" s="3">
        <f>IF('Value at Risk'!$C$5=0,'Market Data - EQ'!D47-'Market Data - EQ'!D48,IF('Value at Risk'!$C$6=0,('Market Data - EQ'!D47-'Market Data - EQ'!D48)/'Market Data - EQ'!D48,LN('Market Data - EQ'!D47/'Market Data - EQ'!D48)))</f>
        <v>8.8467148729902013E-3</v>
      </c>
      <c r="J47" s="3">
        <f>IF('Value at Risk'!$C$5=0,'Market Data - EQ'!E47-'Market Data - EQ'!E48,IF('Value at Risk'!$C$6=0,('Market Data - EQ'!E47-'Market Data - EQ'!E48)/'Market Data - EQ'!E48,LN('Market Data - EQ'!E47/'Market Data - EQ'!E48)))</f>
        <v>1.7000117265040096E-2</v>
      </c>
      <c r="K47" s="3">
        <f>IF('Value at Risk'!$C$5=0,'Market Data - EQ'!F47-'Market Data - EQ'!F48,IF('Value at Risk'!$C$6=0,('Market Data - EQ'!F47-'Market Data - EQ'!F48)/'Market Data - EQ'!F48,LN('Market Data - EQ'!F47/'Market Data - EQ'!F48)))</f>
        <v>2.1062684879345837E-2</v>
      </c>
      <c r="L47" s="8">
        <f t="shared" si="0"/>
        <v>1.0160700518208429E-2</v>
      </c>
    </row>
    <row r="48" spans="1:12" x14ac:dyDescent="0.25">
      <c r="A48" s="5">
        <v>43763</v>
      </c>
      <c r="B48" s="4">
        <v>1229</v>
      </c>
      <c r="C48" s="4">
        <v>281.54998799999998</v>
      </c>
      <c r="D48" s="4">
        <v>469.10000600000001</v>
      </c>
      <c r="E48" s="4">
        <v>1272.0500489999999</v>
      </c>
      <c r="F48" s="4">
        <v>708.59997599999997</v>
      </c>
      <c r="G48" s="3">
        <f>IF('Value at Risk'!$C$5=0,'Market Data - EQ'!B48-'Market Data - EQ'!B49,IF('Value at Risk'!$C$6=0,('Market Data - EQ'!B48-'Market Data - EQ'!B49)/'Market Data - EQ'!B49,LN('Market Data - EQ'!B48/'Market Data - EQ'!B49)))</f>
        <v>-5.7438525506451187E-3</v>
      </c>
      <c r="H48" s="3">
        <f>IF('Value at Risk'!$C$5=0,'Market Data - EQ'!C48-'Market Data - EQ'!C49,IF('Value at Risk'!$C$6=0,('Market Data - EQ'!C48-'Market Data - EQ'!C49)/'Market Data - EQ'!C49,LN('Market Data - EQ'!C48/'Market Data - EQ'!C49)))</f>
        <v>7.2571382857142805E-2</v>
      </c>
      <c r="I48" s="3">
        <f>IF('Value at Risk'!$C$5=0,'Market Data - EQ'!D48-'Market Data - EQ'!D49,IF('Value at Risk'!$C$6=0,('Market Data - EQ'!D48-'Market Data - EQ'!D49)/'Market Data - EQ'!D49,LN('Market Data - EQ'!D48/'Market Data - EQ'!D49)))</f>
        <v>3.1555813084112164E-2</v>
      </c>
      <c r="J48" s="3">
        <f>IF('Value at Risk'!$C$5=0,'Market Data - EQ'!E48-'Market Data - EQ'!E49,IF('Value at Risk'!$C$6=0,('Market Data - EQ'!E48-'Market Data - EQ'!E49)/'Market Data - EQ'!E49,LN('Market Data - EQ'!E48/'Market Data - EQ'!E49)))</f>
        <v>-8.534646141855071E-3</v>
      </c>
      <c r="K48" s="3">
        <f>IF('Value at Risk'!$C$5=0,'Market Data - EQ'!F48-'Market Data - EQ'!F49,IF('Value at Risk'!$C$6=0,('Market Data - EQ'!F48-'Market Data - EQ'!F49)/'Market Data - EQ'!F49,LN('Market Data - EQ'!F48/'Market Data - EQ'!F49)))</f>
        <v>1.2716744167583177E-3</v>
      </c>
      <c r="L48" s="8">
        <f t="shared" si="0"/>
        <v>1.8224074333102618E-2</v>
      </c>
    </row>
    <row r="49" spans="1:12" x14ac:dyDescent="0.25">
      <c r="A49" s="5">
        <v>43762</v>
      </c>
      <c r="B49" s="4">
        <v>1236.099976</v>
      </c>
      <c r="C49" s="4">
        <v>262.5</v>
      </c>
      <c r="D49" s="4">
        <v>454.75</v>
      </c>
      <c r="E49" s="4">
        <v>1283</v>
      </c>
      <c r="F49" s="4">
        <v>707.70001200000002</v>
      </c>
      <c r="G49" s="3">
        <f>IF('Value at Risk'!$C$5=0,'Market Data - EQ'!B49-'Market Data - EQ'!B50,IF('Value at Risk'!$C$6=0,('Market Data - EQ'!B49-'Market Data - EQ'!B50)/'Market Data - EQ'!B50,LN('Market Data - EQ'!B49/'Market Data - EQ'!B50)))</f>
        <v>-4.4297681268640745E-3</v>
      </c>
      <c r="H49" s="3">
        <f>IF('Value at Risk'!$C$5=0,'Market Data - EQ'!C49-'Market Data - EQ'!C50,IF('Value at Risk'!$C$6=0,('Market Data - EQ'!C49-'Market Data - EQ'!C50)/'Market Data - EQ'!C50,LN('Market Data - EQ'!C49/'Market Data - EQ'!C50)))</f>
        <v>-4.7014018645241573E-2</v>
      </c>
      <c r="I49" s="3">
        <f>IF('Value at Risk'!$C$5=0,'Market Data - EQ'!D49-'Market Data - EQ'!D50,IF('Value at Risk'!$C$6=0,('Market Data - EQ'!D49-'Market Data - EQ'!D50)/'Market Data - EQ'!D50,LN('Market Data - EQ'!D49/'Market Data - EQ'!D50)))</f>
        <v>-7.6907491844772154E-4</v>
      </c>
      <c r="J49" s="3">
        <f>IF('Value at Risk'!$C$5=0,'Market Data - EQ'!E49-'Market Data - EQ'!E50,IF('Value at Risk'!$C$6=0,('Market Data - EQ'!E49-'Market Data - EQ'!E50)/'Market Data - EQ'!E50,LN('Market Data - EQ'!E49/'Market Data - EQ'!E50)))</f>
        <v>-3.722045391962394E-2</v>
      </c>
      <c r="K49" s="3">
        <f>IF('Value at Risk'!$C$5=0,'Market Data - EQ'!F49-'Market Data - EQ'!F50,IF('Value at Risk'!$C$6=0,('Market Data - EQ'!F49-'Market Data - EQ'!F50)/'Market Data - EQ'!F50,LN('Market Data - EQ'!F49/'Market Data - EQ'!F50)))</f>
        <v>-1.0002048317897621E-2</v>
      </c>
      <c r="L49" s="8">
        <f t="shared" si="0"/>
        <v>-1.9887072785614988E-2</v>
      </c>
    </row>
    <row r="50" spans="1:12" x14ac:dyDescent="0.25">
      <c r="A50" s="5">
        <v>43761</v>
      </c>
      <c r="B50" s="4">
        <v>1241.599976</v>
      </c>
      <c r="C50" s="4">
        <v>275.45001200000002</v>
      </c>
      <c r="D50" s="4">
        <v>455.10000600000001</v>
      </c>
      <c r="E50" s="4">
        <v>1332.599976</v>
      </c>
      <c r="F50" s="4">
        <v>714.84997599999997</v>
      </c>
      <c r="G50" s="3">
        <f>IF('Value at Risk'!$C$5=0,'Market Data - EQ'!B50-'Market Data - EQ'!B51,IF('Value at Risk'!$C$6=0,('Market Data - EQ'!B50-'Market Data - EQ'!B51)/'Market Data - EQ'!B51,LN('Market Data - EQ'!B50/'Market Data - EQ'!B51)))</f>
        <v>1.85582740988016E-3</v>
      </c>
      <c r="H50" s="3">
        <f>IF('Value at Risk'!$C$5=0,'Market Data - EQ'!C50-'Market Data - EQ'!C51,IF('Value at Risk'!$C$6=0,('Market Data - EQ'!C50-'Market Data - EQ'!C51)/'Market Data - EQ'!C51,LN('Market Data - EQ'!C50/'Market Data - EQ'!C51)))</f>
        <v>1.829948983364146E-2</v>
      </c>
      <c r="I50" s="3">
        <f>IF('Value at Risk'!$C$5=0,'Market Data - EQ'!D50-'Market Data - EQ'!D51,IF('Value at Risk'!$C$6=0,('Market Data - EQ'!D50-'Market Data - EQ'!D51)/'Market Data - EQ'!D51,LN('Market Data - EQ'!D50/'Market Data - EQ'!D51)))</f>
        <v>8.7554295744931687E-3</v>
      </c>
      <c r="J50" s="3">
        <f>IF('Value at Risk'!$C$5=0,'Market Data - EQ'!E50-'Market Data - EQ'!E51,IF('Value at Risk'!$C$6=0,('Market Data - EQ'!E50-'Market Data - EQ'!E51)/'Market Data - EQ'!E51,LN('Market Data - EQ'!E50/'Market Data - EQ'!E51)))</f>
        <v>-6.264000000000023E-3</v>
      </c>
      <c r="K50" s="3">
        <f>IF('Value at Risk'!$C$5=0,'Market Data - EQ'!F50-'Market Data - EQ'!F51,IF('Value at Risk'!$C$6=0,('Market Data - EQ'!F50-'Market Data - EQ'!F51)/'Market Data - EQ'!F51,LN('Market Data - EQ'!F50/'Market Data - EQ'!F51)))</f>
        <v>2.9463009470360852E-3</v>
      </c>
      <c r="L50" s="8">
        <f t="shared" si="0"/>
        <v>5.1186095530101703E-3</v>
      </c>
    </row>
    <row r="51" spans="1:12" x14ac:dyDescent="0.25">
      <c r="A51" s="5">
        <v>43760</v>
      </c>
      <c r="B51" s="4">
        <v>1239.3000489999999</v>
      </c>
      <c r="C51" s="4">
        <v>270.5</v>
      </c>
      <c r="D51" s="4">
        <v>451.14999399999999</v>
      </c>
      <c r="E51" s="4">
        <v>1341</v>
      </c>
      <c r="F51" s="4">
        <v>712.75</v>
      </c>
      <c r="G51" s="3">
        <f>IF('Value at Risk'!$C$5=0,'Market Data - EQ'!B51-'Market Data - EQ'!B52,IF('Value at Risk'!$C$6=0,('Market Data - EQ'!B51-'Market Data - EQ'!B52)/'Market Data - EQ'!B52,LN('Market Data - EQ'!B51/'Market Data - EQ'!B52)))</f>
        <v>8.3808372660699303E-3</v>
      </c>
      <c r="H51" s="3">
        <f>IF('Value at Risk'!$C$5=0,'Market Data - EQ'!C51-'Market Data - EQ'!C52,IF('Value at Risk'!$C$6=0,('Market Data - EQ'!C51-'Market Data - EQ'!C52)/'Market Data - EQ'!C52,LN('Market Data - EQ'!C51/'Market Data - EQ'!C52)))</f>
        <v>3.152256699104572E-3</v>
      </c>
      <c r="I51" s="3">
        <f>IF('Value at Risk'!$C$5=0,'Market Data - EQ'!D51-'Market Data - EQ'!D52,IF('Value at Risk'!$C$6=0,('Market Data - EQ'!D51-'Market Data - EQ'!D52)/'Market Data - EQ'!D52,LN('Market Data - EQ'!D51/'Market Data - EQ'!D52)))</f>
        <v>3.0493390511468009E-2</v>
      </c>
      <c r="J51" s="3">
        <f>IF('Value at Risk'!$C$5=0,'Market Data - EQ'!E51-'Market Data - EQ'!E52,IF('Value at Risk'!$C$6=0,('Market Data - EQ'!E51-'Market Data - EQ'!E52)/'Market Data - EQ'!E52,LN('Market Data - EQ'!E51/'Market Data - EQ'!E52)))</f>
        <v>-1.2289308237483265E-3</v>
      </c>
      <c r="K51" s="3">
        <f>IF('Value at Risk'!$C$5=0,'Market Data - EQ'!F51-'Market Data - EQ'!F52,IF('Value at Risk'!$C$6=0,('Market Data - EQ'!F51-'Market Data - EQ'!F52)/'Market Data - EQ'!F52,LN('Market Data - EQ'!F51/'Market Data - EQ'!F52)))</f>
        <v>4.5099176296512248E-3</v>
      </c>
      <c r="L51" s="8">
        <f t="shared" si="0"/>
        <v>9.0614942565090811E-3</v>
      </c>
    </row>
    <row r="52" spans="1:12" x14ac:dyDescent="0.25">
      <c r="A52" s="5">
        <v>43756</v>
      </c>
      <c r="B52" s="4">
        <v>1229</v>
      </c>
      <c r="C52" s="4">
        <v>269.64999399999999</v>
      </c>
      <c r="D52" s="4">
        <v>437.79998799999998</v>
      </c>
      <c r="E52" s="4">
        <v>1342.650024</v>
      </c>
      <c r="F52" s="4">
        <v>709.54998799999998</v>
      </c>
      <c r="G52" s="3">
        <f>IF('Value at Risk'!$C$5=0,'Market Data - EQ'!B52-'Market Data - EQ'!B53,IF('Value at Risk'!$C$6=0,('Market Data - EQ'!B52-'Market Data - EQ'!B53)/'Market Data - EQ'!B53,LN('Market Data - EQ'!B52/'Market Data - EQ'!B53)))</f>
        <v>7.3770491803278691E-3</v>
      </c>
      <c r="H52" s="3">
        <f>IF('Value at Risk'!$C$5=0,'Market Data - EQ'!C52-'Market Data - EQ'!C53,IF('Value at Risk'!$C$6=0,('Market Data - EQ'!C52-'Market Data - EQ'!C53)/'Market Data - EQ'!C53,LN('Market Data - EQ'!C52/'Market Data - EQ'!C53)))</f>
        <v>1.5822120211469334E-2</v>
      </c>
      <c r="I52" s="3">
        <f>IF('Value at Risk'!$C$5=0,'Market Data - EQ'!D52-'Market Data - EQ'!D53,IF('Value at Risk'!$C$6=0,('Market Data - EQ'!D52-'Market Data - EQ'!D53)/'Market Data - EQ'!D53,LN('Market Data - EQ'!D52/'Market Data - EQ'!D53)))</f>
        <v>-6.3550112616204153E-3</v>
      </c>
      <c r="J52" s="3">
        <f>IF('Value at Risk'!$C$5=0,'Market Data - EQ'!E52-'Market Data - EQ'!E53,IF('Value at Risk'!$C$6=0,('Market Data - EQ'!E52-'Market Data - EQ'!E53)/'Market Data - EQ'!E53,LN('Market Data - EQ'!E52/'Market Data - EQ'!E53)))</f>
        <v>1.9028789237140176E-3</v>
      </c>
      <c r="K52" s="3">
        <f>IF('Value at Risk'!$C$5=0,'Market Data - EQ'!F52-'Market Data - EQ'!F53,IF('Value at Risk'!$C$6=0,('Market Data - EQ'!F52-'Market Data - EQ'!F53)/'Market Data - EQ'!F53,LN('Market Data - EQ'!F52/'Market Data - EQ'!F53)))</f>
        <v>-1.0558918945103516E-3</v>
      </c>
      <c r="L52" s="8">
        <f t="shared" si="0"/>
        <v>3.5382290318760916E-3</v>
      </c>
    </row>
    <row r="53" spans="1:12" x14ac:dyDescent="0.25">
      <c r="A53" s="5">
        <v>43755</v>
      </c>
      <c r="B53" s="4">
        <v>1220</v>
      </c>
      <c r="C53" s="4">
        <v>265.45001200000002</v>
      </c>
      <c r="D53" s="4">
        <v>440.60000600000001</v>
      </c>
      <c r="E53" s="4">
        <v>1340.099976</v>
      </c>
      <c r="F53" s="4">
        <v>710.29998799999998</v>
      </c>
      <c r="G53" s="3">
        <f>IF('Value at Risk'!$C$5=0,'Market Data - EQ'!B53-'Market Data - EQ'!B54,IF('Value at Risk'!$C$6=0,('Market Data - EQ'!B53-'Market Data - EQ'!B54)/'Market Data - EQ'!B54,LN('Market Data - EQ'!B53/'Market Data - EQ'!B54)))</f>
        <v>-9.0080748638059888E-4</v>
      </c>
      <c r="H53" s="3">
        <f>IF('Value at Risk'!$C$5=0,'Market Data - EQ'!C53-'Market Data - EQ'!C54,IF('Value at Risk'!$C$6=0,('Market Data - EQ'!C53-'Market Data - EQ'!C54)/'Market Data - EQ'!C54,LN('Market Data - EQ'!C53/'Market Data - EQ'!C54)))</f>
        <v>3.6711675221793139E-2</v>
      </c>
      <c r="I53" s="3">
        <f>IF('Value at Risk'!$C$5=0,'Market Data - EQ'!D53-'Market Data - EQ'!D54,IF('Value at Risk'!$C$6=0,('Market Data - EQ'!D53-'Market Data - EQ'!D54)/'Market Data - EQ'!D54,LN('Market Data - EQ'!D53/'Market Data - EQ'!D54)))</f>
        <v>1.2175552828179777E-2</v>
      </c>
      <c r="J53" s="3">
        <f>IF('Value at Risk'!$C$5=0,'Market Data - EQ'!E53-'Market Data - EQ'!E54,IF('Value at Risk'!$C$6=0,('Market Data - EQ'!E53-'Market Data - EQ'!E54)/'Market Data - EQ'!E54,LN('Market Data - EQ'!E53/'Market Data - EQ'!E54)))</f>
        <v>5.147114633189484E-2</v>
      </c>
      <c r="K53" s="3">
        <f>IF('Value at Risk'!$C$5=0,'Market Data - EQ'!F53-'Market Data - EQ'!F54,IF('Value at Risk'!$C$6=0,('Market Data - EQ'!F53-'Market Data - EQ'!F54)/'Market Data - EQ'!F54,LN('Market Data - EQ'!F53/'Market Data - EQ'!F54)))</f>
        <v>2.4372603713668107E-2</v>
      </c>
      <c r="L53" s="8">
        <f t="shared" si="0"/>
        <v>2.4766034121831051E-2</v>
      </c>
    </row>
    <row r="54" spans="1:12" x14ac:dyDescent="0.25">
      <c r="A54" s="5">
        <v>43754</v>
      </c>
      <c r="B54" s="4">
        <v>1221.099976</v>
      </c>
      <c r="C54" s="4">
        <v>256.04998799999998</v>
      </c>
      <c r="D54" s="4">
        <v>435.29998799999998</v>
      </c>
      <c r="E54" s="4">
        <v>1274.5</v>
      </c>
      <c r="F54" s="4">
        <v>693.40002400000003</v>
      </c>
      <c r="G54" s="3">
        <f>IF('Value at Risk'!$C$5=0,'Market Data - EQ'!B54-'Market Data - EQ'!B55,IF('Value at Risk'!$C$6=0,('Market Data - EQ'!B54-'Market Data - EQ'!B55)/'Market Data - EQ'!B55,LN('Market Data - EQ'!B54/'Market Data - EQ'!B55)))</f>
        <v>-1.5944343419097276E-3</v>
      </c>
      <c r="H54" s="3">
        <f>IF('Value at Risk'!$C$5=0,'Market Data - EQ'!C54-'Market Data - EQ'!C55,IF('Value at Risk'!$C$6=0,('Market Data - EQ'!C54-'Market Data - EQ'!C55)/'Market Data - EQ'!C55,LN('Market Data - EQ'!C54/'Market Data - EQ'!C55)))</f>
        <v>-9.2862212751610562E-3</v>
      </c>
      <c r="I54" s="3">
        <f>IF('Value at Risk'!$C$5=0,'Market Data - EQ'!D54-'Market Data - EQ'!D55,IF('Value at Risk'!$C$6=0,('Market Data - EQ'!D54-'Market Data - EQ'!D55)/'Market Data - EQ'!D55,LN('Market Data - EQ'!D54/'Market Data - EQ'!D55)))</f>
        <v>7.9888432373901065E-3</v>
      </c>
      <c r="J54" s="3">
        <f>IF('Value at Risk'!$C$5=0,'Market Data - EQ'!E54-'Market Data - EQ'!E55,IF('Value at Risk'!$C$6=0,('Market Data - EQ'!E54-'Market Data - EQ'!E55)/'Market Data - EQ'!E55,LN('Market Data - EQ'!E54/'Market Data - EQ'!E55)))</f>
        <v>1.7685203379838867E-3</v>
      </c>
      <c r="K54" s="3">
        <f>IF('Value at Risk'!$C$5=0,'Market Data - EQ'!F54-'Market Data - EQ'!F55,IF('Value at Risk'!$C$6=0,('Market Data - EQ'!F54-'Market Data - EQ'!F55)/'Market Data - EQ'!F55,LN('Market Data - EQ'!F54/'Market Data - EQ'!F55)))</f>
        <v>4.8547729269724236E-3</v>
      </c>
      <c r="L54" s="8">
        <f t="shared" si="0"/>
        <v>7.4629617705512677E-4</v>
      </c>
    </row>
    <row r="55" spans="1:12" x14ac:dyDescent="0.25">
      <c r="A55" s="5">
        <v>43753</v>
      </c>
      <c r="B55" s="4">
        <v>1223.0500489999999</v>
      </c>
      <c r="C55" s="4">
        <v>258.45001200000002</v>
      </c>
      <c r="D55" s="4">
        <v>431.85000600000001</v>
      </c>
      <c r="E55" s="4">
        <v>1272.25</v>
      </c>
      <c r="F55" s="4">
        <v>690.04998799999998</v>
      </c>
      <c r="G55" s="3">
        <f>IF('Value at Risk'!$C$5=0,'Market Data - EQ'!B55-'Market Data - EQ'!B56,IF('Value at Risk'!$C$6=0,('Market Data - EQ'!B55-'Market Data - EQ'!B56)/'Market Data - EQ'!B56,LN('Market Data - EQ'!B55/'Market Data - EQ'!B56)))</f>
        <v>1.5484909189938636E-2</v>
      </c>
      <c r="H55" s="3">
        <f>IF('Value at Risk'!$C$5=0,'Market Data - EQ'!C55-'Market Data - EQ'!C56,IF('Value at Risk'!$C$6=0,('Market Data - EQ'!C55-'Market Data - EQ'!C56)/'Market Data - EQ'!C56,LN('Market Data - EQ'!C55/'Market Data - EQ'!C56)))</f>
        <v>1.1744040067457972E-2</v>
      </c>
      <c r="I55" s="3">
        <f>IF('Value at Risk'!$C$5=0,'Market Data - EQ'!D55-'Market Data - EQ'!D56,IF('Value at Risk'!$C$6=0,('Market Data - EQ'!D55-'Market Data - EQ'!D56)/'Market Data - EQ'!D56,LN('Market Data - EQ'!D55/'Market Data - EQ'!D56)))</f>
        <v>6.995452857706151E-3</v>
      </c>
      <c r="J55" s="3">
        <f>IF('Value at Risk'!$C$5=0,'Market Data - EQ'!E55-'Market Data - EQ'!E56,IF('Value at Risk'!$C$6=0,('Market Data - EQ'!E55-'Market Data - EQ'!E56)/'Market Data - EQ'!E56,LN('Market Data - EQ'!E55/'Market Data - EQ'!E56)))</f>
        <v>1.7311709911627275E-2</v>
      </c>
      <c r="K55" s="3">
        <f>IF('Value at Risk'!$C$5=0,'Market Data - EQ'!F55-'Market Data - EQ'!F56,IF('Value at Risk'!$C$6=0,('Market Data - EQ'!F55-'Market Data - EQ'!F56)/'Market Data - EQ'!F56,LN('Market Data - EQ'!F55/'Market Data - EQ'!F56)))</f>
        <v>9.5830109729334086E-3</v>
      </c>
      <c r="L55" s="8">
        <f t="shared" si="0"/>
        <v>1.2223824599932688E-2</v>
      </c>
    </row>
    <row r="56" spans="1:12" x14ac:dyDescent="0.25">
      <c r="A56" s="5">
        <v>43752</v>
      </c>
      <c r="B56" s="4">
        <v>1204.400024</v>
      </c>
      <c r="C56" s="4">
        <v>255.449997</v>
      </c>
      <c r="D56" s="4">
        <v>428.85000600000001</v>
      </c>
      <c r="E56" s="4">
        <v>1250.599976</v>
      </c>
      <c r="F56" s="4">
        <v>683.5</v>
      </c>
      <c r="G56" s="3">
        <f>IF('Value at Risk'!$C$5=0,'Market Data - EQ'!B56-'Market Data - EQ'!B57,IF('Value at Risk'!$C$6=0,('Market Data - EQ'!B56-'Market Data - EQ'!B57)/'Market Data - EQ'!B57,LN('Market Data - EQ'!B56/'Market Data - EQ'!B57)))</f>
        <v>4.67131695954751E-3</v>
      </c>
      <c r="H56" s="3">
        <f>IF('Value at Risk'!$C$5=0,'Market Data - EQ'!C56-'Market Data - EQ'!C57,IF('Value at Risk'!$C$6=0,('Market Data - EQ'!C56-'Market Data - EQ'!C57)/'Market Data - EQ'!C57,LN('Market Data - EQ'!C56/'Market Data - EQ'!C57)))</f>
        <v>3.5356275364097811E-3</v>
      </c>
      <c r="I56" s="3">
        <f>IF('Value at Risk'!$C$5=0,'Market Data - EQ'!D56-'Market Data - EQ'!D57,IF('Value at Risk'!$C$6=0,('Market Data - EQ'!D56-'Market Data - EQ'!D57)/'Market Data - EQ'!D57,LN('Market Data - EQ'!D56/'Market Data - EQ'!D57)))</f>
        <v>7.0007702345338248E-4</v>
      </c>
      <c r="J56" s="3">
        <f>IF('Value at Risk'!$C$5=0,'Market Data - EQ'!E56-'Market Data - EQ'!E57,IF('Value at Risk'!$C$6=0,('Market Data - EQ'!E56-'Market Data - EQ'!E57)/'Market Data - EQ'!E57,LN('Market Data - EQ'!E56/'Market Data - EQ'!E57)))</f>
        <v>2.2400282944419373E-2</v>
      </c>
      <c r="K56" s="3">
        <f>IF('Value at Risk'!$C$5=0,'Market Data - EQ'!F56-'Market Data - EQ'!F57,IF('Value at Risk'!$C$6=0,('Market Data - EQ'!F56-'Market Data - EQ'!F57)/'Market Data - EQ'!F57,LN('Market Data - EQ'!F56/'Market Data - EQ'!F57)))</f>
        <v>1.6054686795516193E-2</v>
      </c>
      <c r="L56" s="8">
        <f t="shared" si="0"/>
        <v>9.4723982518692476E-3</v>
      </c>
    </row>
    <row r="57" spans="1:12" x14ac:dyDescent="0.25">
      <c r="A57" s="5">
        <v>43749</v>
      </c>
      <c r="B57" s="4">
        <v>1198.8000489999999</v>
      </c>
      <c r="C57" s="4">
        <v>254.550003</v>
      </c>
      <c r="D57" s="4">
        <v>428.54998799999998</v>
      </c>
      <c r="E57" s="4">
        <v>1223.1999510000001</v>
      </c>
      <c r="F57" s="4">
        <v>672.70001200000002</v>
      </c>
      <c r="G57" s="3">
        <f>IF('Value at Risk'!$C$5=0,'Market Data - EQ'!B57-'Market Data - EQ'!B58,IF('Value at Risk'!$C$6=0,('Market Data - EQ'!B57-'Market Data - EQ'!B58)/'Market Data - EQ'!B58,LN('Market Data - EQ'!B57/'Market Data - EQ'!B58)))</f>
        <v>-1.4576651772724221E-3</v>
      </c>
      <c r="H57" s="3">
        <f>IF('Value at Risk'!$C$5=0,'Market Data - EQ'!C57-'Market Data - EQ'!C58,IF('Value at Risk'!$C$6=0,('Market Data - EQ'!C57-'Market Data - EQ'!C58)/'Market Data - EQ'!C58,LN('Market Data - EQ'!C57/'Market Data - EQ'!C58)))</f>
        <v>1.5739091459510773E-3</v>
      </c>
      <c r="I57" s="3">
        <f>IF('Value at Risk'!$C$5=0,'Market Data - EQ'!D57-'Market Data - EQ'!D58,IF('Value at Risk'!$C$6=0,('Market Data - EQ'!D57-'Market Data - EQ'!D58)/'Market Data - EQ'!D58,LN('Market Data - EQ'!D57/'Market Data - EQ'!D58)))</f>
        <v>1.1446721412884853E-2</v>
      </c>
      <c r="J57" s="3">
        <f>IF('Value at Risk'!$C$5=0,'Market Data - EQ'!E57-'Market Data - EQ'!E58,IF('Value at Risk'!$C$6=0,('Market Data - EQ'!E57-'Market Data - EQ'!E58)/'Market Data - EQ'!E58,LN('Market Data - EQ'!E57/'Market Data - EQ'!E58)))</f>
        <v>-4.3142442002441547E-3</v>
      </c>
      <c r="K57" s="3">
        <f>IF('Value at Risk'!$C$5=0,'Market Data - EQ'!F57-'Market Data - EQ'!F58,IF('Value at Risk'!$C$6=0,('Market Data - EQ'!F57-'Market Data - EQ'!F58)/'Market Data - EQ'!F58,LN('Market Data - EQ'!F57/'Market Data - EQ'!F58)))</f>
        <v>-3.7149861883054697E-4</v>
      </c>
      <c r="L57" s="8">
        <f t="shared" si="0"/>
        <v>1.3754445124977612E-3</v>
      </c>
    </row>
    <row r="58" spans="1:12" x14ac:dyDescent="0.25">
      <c r="A58" s="5">
        <v>43748</v>
      </c>
      <c r="B58" s="4">
        <v>1200.5500489999999</v>
      </c>
      <c r="C58" s="4">
        <v>254.14999399999999</v>
      </c>
      <c r="D58" s="4">
        <v>423.70001200000002</v>
      </c>
      <c r="E58" s="4">
        <v>1228.5</v>
      </c>
      <c r="F58" s="4">
        <v>672.95001200000002</v>
      </c>
      <c r="G58" s="3">
        <f>IF('Value at Risk'!$C$5=0,'Market Data - EQ'!B58-'Market Data - EQ'!B59,IF('Value at Risk'!$C$6=0,('Market Data - EQ'!B58-'Market Data - EQ'!B59)/'Market Data - EQ'!B59,LN('Market Data - EQ'!B58/'Market Data - EQ'!B59)))</f>
        <v>-2.2472804185688054E-2</v>
      </c>
      <c r="H58" s="3">
        <f>IF('Value at Risk'!$C$5=0,'Market Data - EQ'!C58-'Market Data - EQ'!C59,IF('Value at Risk'!$C$6=0,('Market Data - EQ'!C58-'Market Data - EQ'!C59)/'Market Data - EQ'!C59,LN('Market Data - EQ'!C58/'Market Data - EQ'!C59)))</f>
        <v>-2.6058699702225047E-2</v>
      </c>
      <c r="I58" s="3">
        <f>IF('Value at Risk'!$C$5=0,'Market Data - EQ'!D58-'Market Data - EQ'!D59,IF('Value at Risk'!$C$6=0,('Market Data - EQ'!D58-'Market Data - EQ'!D59)/'Market Data - EQ'!D59,LN('Market Data - EQ'!D58/'Market Data - EQ'!D59)))</f>
        <v>-2.9768719127033137E-2</v>
      </c>
      <c r="J58" s="3">
        <f>IF('Value at Risk'!$C$5=0,'Market Data - EQ'!E58-'Market Data - EQ'!E59,IF('Value at Risk'!$C$6=0,('Market Data - EQ'!E58-'Market Data - EQ'!E59)/'Market Data - EQ'!E59,LN('Market Data - EQ'!E58/'Market Data - EQ'!E59)))</f>
        <v>-6.1246339762417661E-2</v>
      </c>
      <c r="K58" s="3">
        <f>IF('Value at Risk'!$C$5=0,'Market Data - EQ'!F58-'Market Data - EQ'!F59,IF('Value at Risk'!$C$6=0,('Market Data - EQ'!F58-'Market Data - EQ'!F59)/'Market Data - EQ'!F59,LN('Market Data - EQ'!F58/'Market Data - EQ'!F59)))</f>
        <v>-1.9452100004990775E-2</v>
      </c>
      <c r="L58" s="8">
        <f t="shared" si="0"/>
        <v>-3.1799732556470936E-2</v>
      </c>
    </row>
    <row r="59" spans="1:12" x14ac:dyDescent="0.25">
      <c r="A59" s="5">
        <v>43747</v>
      </c>
      <c r="B59" s="4">
        <v>1228.150024</v>
      </c>
      <c r="C59" s="4">
        <v>260.95001200000002</v>
      </c>
      <c r="D59" s="4">
        <v>436.70001200000002</v>
      </c>
      <c r="E59" s="4">
        <v>1308.650024</v>
      </c>
      <c r="F59" s="4">
        <v>686.29998799999998</v>
      </c>
      <c r="G59" s="3">
        <f>IF('Value at Risk'!$C$5=0,'Market Data - EQ'!B59-'Market Data - EQ'!B60,IF('Value at Risk'!$C$6=0,('Market Data - EQ'!B59-'Market Data - EQ'!B60)/'Market Data - EQ'!B60,LN('Market Data - EQ'!B59/'Market Data - EQ'!B60)))</f>
        <v>3.4754401521521913E-2</v>
      </c>
      <c r="H59" s="3">
        <f>IF('Value at Risk'!$C$5=0,'Market Data - EQ'!C59-'Market Data - EQ'!C60,IF('Value at Risk'!$C$6=0,('Market Data - EQ'!C59-'Market Data - EQ'!C60)/'Market Data - EQ'!C60,LN('Market Data - EQ'!C59/'Market Data - EQ'!C60)))</f>
        <v>4.7571279464361023E-2</v>
      </c>
      <c r="I59" s="3">
        <f>IF('Value at Risk'!$C$5=0,'Market Data - EQ'!D59-'Market Data - EQ'!D60,IF('Value at Risk'!$C$6=0,('Market Data - EQ'!D59-'Market Data - EQ'!D60)/'Market Data - EQ'!D60,LN('Market Data - EQ'!D59/'Market Data - EQ'!D60)))</f>
        <v>4.9507343674491576E-2</v>
      </c>
      <c r="J59" s="3">
        <f>IF('Value at Risk'!$C$5=0,'Market Data - EQ'!E59-'Market Data - EQ'!E60,IF('Value at Risk'!$C$6=0,('Market Data - EQ'!E59-'Market Data - EQ'!E60)/'Market Data - EQ'!E60,LN('Market Data - EQ'!E59/'Market Data - EQ'!E60)))</f>
        <v>5.4469982942646086E-2</v>
      </c>
      <c r="K59" s="3">
        <f>IF('Value at Risk'!$C$5=0,'Market Data - EQ'!F59-'Market Data - EQ'!F60,IF('Value at Risk'!$C$6=0,('Market Data - EQ'!F59-'Market Data - EQ'!F60)/'Market Data - EQ'!F60,LN('Market Data - EQ'!F59/'Market Data - EQ'!F60)))</f>
        <v>1.9080816350182158E-2</v>
      </c>
      <c r="L59" s="8">
        <f t="shared" si="0"/>
        <v>4.1076764790640555E-2</v>
      </c>
    </row>
    <row r="60" spans="1:12" x14ac:dyDescent="0.25">
      <c r="A60" s="5">
        <v>43745</v>
      </c>
      <c r="B60" s="4">
        <v>1186.900024</v>
      </c>
      <c r="C60" s="4">
        <v>249.10000600000001</v>
      </c>
      <c r="D60" s="4">
        <v>416.10000600000001</v>
      </c>
      <c r="E60" s="4">
        <v>1241.0500489999999</v>
      </c>
      <c r="F60" s="4">
        <v>673.45001200000002</v>
      </c>
      <c r="G60" s="3">
        <f>IF('Value at Risk'!$C$5=0,'Market Data - EQ'!B60-'Market Data - EQ'!B61,IF('Value at Risk'!$C$6=0,('Market Data - EQ'!B60-'Market Data - EQ'!B61)/'Market Data - EQ'!B61,LN('Market Data - EQ'!B60/'Market Data - EQ'!B61)))</f>
        <v>-2.3534732414223869E-3</v>
      </c>
      <c r="H60" s="3">
        <f>IF('Value at Risk'!$C$5=0,'Market Data - EQ'!C60-'Market Data - EQ'!C61,IF('Value at Risk'!$C$6=0,('Market Data - EQ'!C60-'Market Data - EQ'!C61)/'Market Data - EQ'!C61,LN('Market Data - EQ'!C60/'Market Data - EQ'!C61)))</f>
        <v>-3.4006441696416128E-3</v>
      </c>
      <c r="I60" s="3">
        <f>IF('Value at Risk'!$C$5=0,'Market Data - EQ'!D60-'Market Data - EQ'!D61,IF('Value at Risk'!$C$6=0,('Market Data - EQ'!D60-'Market Data - EQ'!D61)/'Market Data - EQ'!D61,LN('Market Data - EQ'!D60/'Market Data - EQ'!D61)))</f>
        <v>5.3153226187290428E-3</v>
      </c>
      <c r="J60" s="3">
        <f>IF('Value at Risk'!$C$5=0,'Market Data - EQ'!E60-'Market Data - EQ'!E61,IF('Value at Risk'!$C$6=0,('Market Data - EQ'!E60-'Market Data - EQ'!E61)/'Market Data - EQ'!E61,LN('Market Data - EQ'!E60/'Market Data - EQ'!E61)))</f>
        <v>-1.9165414574325999E-2</v>
      </c>
      <c r="K60" s="3">
        <f>IF('Value at Risk'!$C$5=0,'Market Data - EQ'!F60-'Market Data - EQ'!F61,IF('Value at Risk'!$C$6=0,('Market Data - EQ'!F60-'Market Data - EQ'!F61)/'Market Data - EQ'!F61,LN('Market Data - EQ'!F60/'Market Data - EQ'!F61)))</f>
        <v>2.5974996003351736E-2</v>
      </c>
      <c r="L60" s="8">
        <f t="shared" si="0"/>
        <v>1.2741573273381559E-3</v>
      </c>
    </row>
    <row r="61" spans="1:12" x14ac:dyDescent="0.25">
      <c r="A61" s="5">
        <v>43742</v>
      </c>
      <c r="B61" s="4">
        <v>1189.6999510000001</v>
      </c>
      <c r="C61" s="4">
        <v>249.949997</v>
      </c>
      <c r="D61" s="4">
        <v>413.89999399999999</v>
      </c>
      <c r="E61" s="4">
        <v>1265.3000489999999</v>
      </c>
      <c r="F61" s="4">
        <v>656.40002400000003</v>
      </c>
      <c r="G61" s="3">
        <f>IF('Value at Risk'!$C$5=0,'Market Data - EQ'!B61-'Market Data - EQ'!B62,IF('Value at Risk'!$C$6=0,('Market Data - EQ'!B61-'Market Data - EQ'!B62)/'Market Data - EQ'!B62,LN('Market Data - EQ'!B61/'Market Data - EQ'!B62)))</f>
        <v>-2.7665478847935455E-2</v>
      </c>
      <c r="H61" s="3">
        <f>IF('Value at Risk'!$C$5=0,'Market Data - EQ'!C61-'Market Data - EQ'!C62,IF('Value at Risk'!$C$6=0,('Market Data - EQ'!C61-'Market Data - EQ'!C62)/'Market Data - EQ'!C62,LN('Market Data - EQ'!C61/'Market Data - EQ'!C62)))</f>
        <v>-1.6525662400763214E-2</v>
      </c>
      <c r="I61" s="3">
        <f>IF('Value at Risk'!$C$5=0,'Market Data - EQ'!D61-'Market Data - EQ'!D62,IF('Value at Risk'!$C$6=0,('Market Data - EQ'!D61-'Market Data - EQ'!D62)/'Market Data - EQ'!D62,LN('Market Data - EQ'!D61/'Market Data - EQ'!D62)))</f>
        <v>-3.135968728367948E-2</v>
      </c>
      <c r="J61" s="3">
        <f>IF('Value at Risk'!$C$5=0,'Market Data - EQ'!E61-'Market Data - EQ'!E62,IF('Value at Risk'!$C$6=0,('Market Data - EQ'!E61-'Market Data - EQ'!E62)/'Market Data - EQ'!E62,LN('Market Data - EQ'!E61/'Market Data - EQ'!E62)))</f>
        <v>7.805694145758618E-3</v>
      </c>
      <c r="K61" s="3">
        <f>IF('Value at Risk'!$C$5=0,'Market Data - EQ'!F61-'Market Data - EQ'!F62,IF('Value at Risk'!$C$6=0,('Market Data - EQ'!F61-'Market Data - EQ'!F62)/'Market Data - EQ'!F62,LN('Market Data - EQ'!F61/'Market Data - EQ'!F62)))</f>
        <v>-1.795332071980895E-2</v>
      </c>
      <c r="L61" s="8">
        <f t="shared" si="0"/>
        <v>-1.7139691021285697E-2</v>
      </c>
    </row>
    <row r="62" spans="1:12" x14ac:dyDescent="0.25">
      <c r="A62" s="5">
        <v>43741</v>
      </c>
      <c r="B62" s="4">
        <v>1223.5500489999999</v>
      </c>
      <c r="C62" s="4">
        <v>254.14999399999999</v>
      </c>
      <c r="D62" s="4">
        <v>427.29998799999998</v>
      </c>
      <c r="E62" s="4">
        <v>1255.5</v>
      </c>
      <c r="F62" s="4">
        <v>668.40002400000003</v>
      </c>
      <c r="G62" s="3">
        <f>IF('Value at Risk'!$C$5=0,'Market Data - EQ'!B62-'Market Data - EQ'!B63,IF('Value at Risk'!$C$6=0,('Market Data - EQ'!B62-'Market Data - EQ'!B63)/'Market Data - EQ'!B63,LN('Market Data - EQ'!B62/'Market Data - EQ'!B63)))</f>
        <v>-2.0219409840846348E-2</v>
      </c>
      <c r="H62" s="3">
        <f>IF('Value at Risk'!$C$5=0,'Market Data - EQ'!C62-'Market Data - EQ'!C63,IF('Value at Risk'!$C$6=0,('Market Data - EQ'!C62-'Market Data - EQ'!C63)/'Market Data - EQ'!C63,LN('Market Data - EQ'!C62/'Market Data - EQ'!C63)))</f>
        <v>-7.0326353627579996E-3</v>
      </c>
      <c r="I62" s="3">
        <f>IF('Value at Risk'!$C$5=0,'Market Data - EQ'!D62-'Market Data - EQ'!D63,IF('Value at Risk'!$C$6=0,('Market Data - EQ'!D62-'Market Data - EQ'!D63)/'Market Data - EQ'!D63,LN('Market Data - EQ'!D62/'Market Data - EQ'!D63)))</f>
        <v>6.3588835653477999E-3</v>
      </c>
      <c r="J62" s="3">
        <f>IF('Value at Risk'!$C$5=0,'Market Data - EQ'!E62-'Market Data - EQ'!E63,IF('Value at Risk'!$C$6=0,('Market Data - EQ'!E62-'Market Data - EQ'!E63)/'Market Data - EQ'!E63,LN('Market Data - EQ'!E62/'Market Data - EQ'!E63)))</f>
        <v>-3.2779975651000451E-2</v>
      </c>
      <c r="K62" s="3">
        <f>IF('Value at Risk'!$C$5=0,'Market Data - EQ'!F62-'Market Data - EQ'!F63,IF('Value at Risk'!$C$6=0,('Market Data - EQ'!F62-'Market Data - EQ'!F63)/'Market Data - EQ'!F63,LN('Market Data - EQ'!F62/'Market Data - EQ'!F63)))</f>
        <v>-1.5828608731669573E-2</v>
      </c>
      <c r="L62" s="8">
        <f t="shared" si="0"/>
        <v>-1.3900349204185314E-2</v>
      </c>
    </row>
    <row r="63" spans="1:12" x14ac:dyDescent="0.25">
      <c r="A63" s="5">
        <v>43739</v>
      </c>
      <c r="B63" s="4">
        <v>1248.8000489999999</v>
      </c>
      <c r="C63" s="4">
        <v>255.949997</v>
      </c>
      <c r="D63" s="4">
        <v>424.60000600000001</v>
      </c>
      <c r="E63" s="4">
        <v>1298.0500489999999</v>
      </c>
      <c r="F63" s="4">
        <v>679.15002400000003</v>
      </c>
      <c r="G63" s="3">
        <f>IF('Value at Risk'!$C$5=0,'Market Data - EQ'!B63-'Market Data - EQ'!B64,IF('Value at Risk'!$C$6=0,('Market Data - EQ'!B63-'Market Data - EQ'!B64)/'Market Data - EQ'!B64,LN('Market Data - EQ'!B63/'Market Data - EQ'!B64)))</f>
        <v>1.7393864395534843E-2</v>
      </c>
      <c r="H63" s="3">
        <f>IF('Value at Risk'!$C$5=0,'Market Data - EQ'!C63-'Market Data - EQ'!C64,IF('Value at Risk'!$C$6=0,('Market Data - EQ'!C63-'Market Data - EQ'!C64)/'Market Data - EQ'!C64,LN('Market Data - EQ'!C63/'Market Data - EQ'!C64)))</f>
        <v>-5.4837487658972825E-2</v>
      </c>
      <c r="I63" s="3">
        <f>IF('Value at Risk'!$C$5=0,'Market Data - EQ'!D63-'Market Data - EQ'!D64,IF('Value at Risk'!$C$6=0,('Market Data - EQ'!D63-'Market Data - EQ'!D64)/'Market Data - EQ'!D64,LN('Market Data - EQ'!D63/'Market Data - EQ'!D64)))</f>
        <v>-2.0982259045913994E-2</v>
      </c>
      <c r="J63" s="3">
        <f>IF('Value at Risk'!$C$5=0,'Market Data - EQ'!E63-'Market Data - EQ'!E64,IF('Value at Risk'!$C$6=0,('Market Data - EQ'!E63-'Market Data - EQ'!E64)/'Market Data - EQ'!E64,LN('Market Data - EQ'!E63/'Market Data - EQ'!E64)))</f>
        <v>-6.1797547592728971E-2</v>
      </c>
      <c r="K63" s="3">
        <f>IF('Value at Risk'!$C$5=0,'Market Data - EQ'!F63-'Market Data - EQ'!F64,IF('Value at Risk'!$C$6=0,('Market Data - EQ'!F63-'Market Data - EQ'!F64)/'Market Data - EQ'!F64,LN('Market Data - EQ'!F63/'Market Data - EQ'!F64)))</f>
        <v>-8.5401109489050657E-3</v>
      </c>
      <c r="L63" s="8">
        <f t="shared" si="0"/>
        <v>-2.5752708170197203E-2</v>
      </c>
    </row>
    <row r="64" spans="1:12" x14ac:dyDescent="0.25">
      <c r="A64" s="5">
        <v>43738</v>
      </c>
      <c r="B64" s="4">
        <v>1227.4499510000001</v>
      </c>
      <c r="C64" s="4">
        <v>270.79998799999998</v>
      </c>
      <c r="D64" s="4">
        <v>433.70001200000002</v>
      </c>
      <c r="E64" s="4">
        <v>1383.5500489999999</v>
      </c>
      <c r="F64" s="4">
        <v>685</v>
      </c>
      <c r="G64" s="3">
        <f>IF('Value at Risk'!$C$5=0,'Market Data - EQ'!B64-'Market Data - EQ'!B65,IF('Value at Risk'!$C$6=0,('Market Data - EQ'!B64-'Market Data - EQ'!B65)/'Market Data - EQ'!B65,LN('Market Data - EQ'!B64/'Market Data - EQ'!B65)))</f>
        <v>-1.3462466371693339E-2</v>
      </c>
      <c r="H64" s="3">
        <f>IF('Value at Risk'!$C$5=0,'Market Data - EQ'!C64-'Market Data - EQ'!C65,IF('Value at Risk'!$C$6=0,('Market Data - EQ'!C64-'Market Data - EQ'!C65)/'Market Data - EQ'!C65,LN('Market Data - EQ'!C64/'Market Data - EQ'!C65)))</f>
        <v>-3.6984436544049752E-2</v>
      </c>
      <c r="I64" s="3">
        <f>IF('Value at Risk'!$C$5=0,'Market Data - EQ'!D64-'Market Data - EQ'!D65,IF('Value at Risk'!$C$6=0,('Market Data - EQ'!D64-'Market Data - EQ'!D65)/'Market Data - EQ'!D65,LN('Market Data - EQ'!D64/'Market Data - EQ'!D65)))</f>
        <v>-3.4505787145882802E-2</v>
      </c>
      <c r="J64" s="3">
        <f>IF('Value at Risk'!$C$5=0,'Market Data - EQ'!E64-'Market Data - EQ'!E65,IF('Value at Risk'!$C$6=0,('Market Data - EQ'!E64-'Market Data - EQ'!E65)/'Market Data - EQ'!E65,LN('Market Data - EQ'!E64/'Market Data - EQ'!E65)))</f>
        <v>-6.5673957848444126E-2</v>
      </c>
      <c r="K64" s="3">
        <f>IF('Value at Risk'!$C$5=0,'Market Data - EQ'!F64-'Market Data - EQ'!F65,IF('Value at Risk'!$C$6=0,('Market Data - EQ'!F64-'Market Data - EQ'!F65)/'Market Data - EQ'!F65,LN('Market Data - EQ'!F64/'Market Data - EQ'!F65)))</f>
        <v>-2.2266595110474241E-2</v>
      </c>
      <c r="L64" s="8">
        <f t="shared" si="0"/>
        <v>-3.457864860410885E-2</v>
      </c>
    </row>
    <row r="65" spans="1:12" x14ac:dyDescent="0.25">
      <c r="A65" s="5">
        <v>43735</v>
      </c>
      <c r="B65" s="4">
        <v>1244.1999510000001</v>
      </c>
      <c r="C65" s="4">
        <v>281.20001200000002</v>
      </c>
      <c r="D65" s="4">
        <v>449.20001200000002</v>
      </c>
      <c r="E65" s="4">
        <v>1480.8000489999999</v>
      </c>
      <c r="F65" s="4">
        <v>700.59997599999997</v>
      </c>
      <c r="G65" s="3">
        <f>IF('Value at Risk'!$C$5=0,'Market Data - EQ'!B65-'Market Data - EQ'!B66,IF('Value at Risk'!$C$6=0,('Market Data - EQ'!B65-'Market Data - EQ'!B66)/'Market Data - EQ'!B66,LN('Market Data - EQ'!B65/'Market Data - EQ'!B66)))</f>
        <v>1.3681698189135256E-3</v>
      </c>
      <c r="H65" s="3">
        <f>IF('Value at Risk'!$C$5=0,'Market Data - EQ'!C65-'Market Data - EQ'!C66,IF('Value at Risk'!$C$6=0,('Market Data - EQ'!C65-'Market Data - EQ'!C66)/'Market Data - EQ'!C66,LN('Market Data - EQ'!C65/'Market Data - EQ'!C66)))</f>
        <v>-2.3061698994606104E-3</v>
      </c>
      <c r="I65" s="3">
        <f>IF('Value at Risk'!$C$5=0,'Market Data - EQ'!D65-'Market Data - EQ'!D66,IF('Value at Risk'!$C$6=0,('Market Data - EQ'!D65-'Market Data - EQ'!D66)/'Market Data - EQ'!D66,LN('Market Data - EQ'!D65/'Market Data - EQ'!D66)))</f>
        <v>-6.0847437260384447E-3</v>
      </c>
      <c r="J65" s="3">
        <f>IF('Value at Risk'!$C$5=0,'Market Data - EQ'!E65-'Market Data - EQ'!E66,IF('Value at Risk'!$C$6=0,('Market Data - EQ'!E65-'Market Data - EQ'!E66)/'Market Data - EQ'!E66,LN('Market Data - EQ'!E65/'Market Data - EQ'!E66)))</f>
        <v>-4.3410821059431559E-2</v>
      </c>
      <c r="K65" s="3">
        <f>IF('Value at Risk'!$C$5=0,'Market Data - EQ'!F65-'Market Data - EQ'!F66,IF('Value at Risk'!$C$6=0,('Market Data - EQ'!F65-'Market Data - EQ'!F66)/'Market Data - EQ'!F66,LN('Market Data - EQ'!F65/'Market Data - EQ'!F66)))</f>
        <v>1.0000742620348006E-3</v>
      </c>
      <c r="L65" s="8">
        <f t="shared" si="0"/>
        <v>-9.886698120796459E-3</v>
      </c>
    </row>
    <row r="66" spans="1:12" x14ac:dyDescent="0.25">
      <c r="A66" s="5">
        <v>43734</v>
      </c>
      <c r="B66" s="4">
        <v>1242.5</v>
      </c>
      <c r="C66" s="4">
        <v>281.85000600000001</v>
      </c>
      <c r="D66" s="4">
        <v>451.95001200000002</v>
      </c>
      <c r="E66" s="4">
        <v>1548</v>
      </c>
      <c r="F66" s="4">
        <v>699.90002400000003</v>
      </c>
      <c r="G66" s="3">
        <f>IF('Value at Risk'!$C$5=0,'Market Data - EQ'!B66-'Market Data - EQ'!B67,IF('Value at Risk'!$C$6=0,('Market Data - EQ'!B66-'Market Data - EQ'!B67)/'Market Data - EQ'!B67,LN('Market Data - EQ'!B66/'Market Data - EQ'!B67)))</f>
        <v>2.2586505692295091E-3</v>
      </c>
      <c r="H66" s="3">
        <f>IF('Value at Risk'!$C$5=0,'Market Data - EQ'!C66-'Market Data - EQ'!C67,IF('Value at Risk'!$C$6=0,('Market Data - EQ'!C66-'Market Data - EQ'!C67)/'Market Data - EQ'!C67,LN('Market Data - EQ'!C66/'Market Data - EQ'!C67)))</f>
        <v>5.709209634255156E-3</v>
      </c>
      <c r="I66" s="3">
        <f>IF('Value at Risk'!$C$5=0,'Market Data - EQ'!D66-'Market Data - EQ'!D67,IF('Value at Risk'!$C$6=0,('Market Data - EQ'!D66-'Market Data - EQ'!D67)/'Market Data - EQ'!D67,LN('Market Data - EQ'!D66/'Market Data - EQ'!D67)))</f>
        <v>4.0879777773935207E-2</v>
      </c>
      <c r="J66" s="3">
        <f>IF('Value at Risk'!$C$5=0,'Market Data - EQ'!E66-'Market Data - EQ'!E67,IF('Value at Risk'!$C$6=0,('Market Data - EQ'!E66-'Market Data - EQ'!E67)/'Market Data - EQ'!E67,LN('Market Data - EQ'!E66/'Market Data - EQ'!E67)))</f>
        <v>2.9323741802134561E-2</v>
      </c>
      <c r="K66" s="3">
        <f>IF('Value at Risk'!$C$5=0,'Market Data - EQ'!F66-'Market Data - EQ'!F67,IF('Value at Risk'!$C$6=0,('Market Data - EQ'!F66-'Market Data - EQ'!F67)/'Market Data - EQ'!F67,LN('Market Data - EQ'!F66/'Market Data - EQ'!F67)))</f>
        <v>7.1228317354141077E-3</v>
      </c>
      <c r="L66" s="8">
        <f t="shared" si="0"/>
        <v>1.7058842302993711E-2</v>
      </c>
    </row>
    <row r="67" spans="1:12" x14ac:dyDescent="0.25">
      <c r="A67" s="5">
        <v>43733</v>
      </c>
      <c r="B67" s="4">
        <v>1239.6999510000001</v>
      </c>
      <c r="C67" s="4">
        <v>280.25</v>
      </c>
      <c r="D67" s="4">
        <v>434.20001200000002</v>
      </c>
      <c r="E67" s="4">
        <v>1503.900024</v>
      </c>
      <c r="F67" s="4">
        <v>694.95001200000002</v>
      </c>
      <c r="G67" s="3">
        <f>IF('Value at Risk'!$C$5=0,'Market Data - EQ'!B67-'Market Data - EQ'!B68,IF('Value at Risk'!$C$6=0,('Market Data - EQ'!B67-'Market Data - EQ'!B68)/'Market Data - EQ'!B68,LN('Market Data - EQ'!B67/'Market Data - EQ'!B68)))</f>
        <v>-1.1245890452186359E-2</v>
      </c>
      <c r="H67" s="3">
        <f>IF('Value at Risk'!$C$5=0,'Market Data - EQ'!C67-'Market Data - EQ'!C68,IF('Value at Risk'!$C$6=0,('Market Data - EQ'!C67-'Market Data - EQ'!C68)/'Market Data - EQ'!C68,LN('Market Data - EQ'!C67/'Market Data - EQ'!C68)))</f>
        <v>-7.3859899394714504E-2</v>
      </c>
      <c r="I67" s="3">
        <f>IF('Value at Risk'!$C$5=0,'Market Data - EQ'!D67-'Market Data - EQ'!D68,IF('Value at Risk'!$C$6=0,('Market Data - EQ'!D67-'Market Data - EQ'!D68)/'Market Data - EQ'!D68,LN('Market Data - EQ'!D67/'Market Data - EQ'!D68)))</f>
        <v>-1.5196148993370087E-2</v>
      </c>
      <c r="J67" s="3">
        <f>IF('Value at Risk'!$C$5=0,'Market Data - EQ'!E67-'Market Data - EQ'!E68,IF('Value at Risk'!$C$6=0,('Market Data - EQ'!E67-'Market Data - EQ'!E68)/'Market Data - EQ'!E68,LN('Market Data - EQ'!E67/'Market Data - EQ'!E68)))</f>
        <v>-8.1778174499023016E-3</v>
      </c>
      <c r="K67" s="3">
        <f>IF('Value at Risk'!$C$5=0,'Market Data - EQ'!F67-'Market Data - EQ'!F68,IF('Value at Risk'!$C$6=0,('Market Data - EQ'!F67-'Market Data - EQ'!F68)/'Market Data - EQ'!F68,LN('Market Data - EQ'!F67/'Market Data - EQ'!F68)))</f>
        <v>-1.3415689491799356E-2</v>
      </c>
      <c r="L67" s="8">
        <f t="shared" si="0"/>
        <v>-2.4379089156394522E-2</v>
      </c>
    </row>
    <row r="68" spans="1:12" x14ac:dyDescent="0.25">
      <c r="A68" s="5">
        <v>43732</v>
      </c>
      <c r="B68" s="4">
        <v>1253.8000489999999</v>
      </c>
      <c r="C68" s="4">
        <v>302.60000600000001</v>
      </c>
      <c r="D68" s="4">
        <v>440.89999399999999</v>
      </c>
      <c r="E68" s="4">
        <v>1516.3000489999999</v>
      </c>
      <c r="F68" s="4">
        <v>704.40002400000003</v>
      </c>
      <c r="G68" s="3">
        <f>IF('Value at Risk'!$C$5=0,'Market Data - EQ'!B68-'Market Data - EQ'!B69,IF('Value at Risk'!$C$6=0,('Market Data - EQ'!B68-'Market Data - EQ'!B69)/'Market Data - EQ'!B69,LN('Market Data - EQ'!B68/'Market Data - EQ'!B69)))</f>
        <v>-2.7440453370451822E-3</v>
      </c>
      <c r="H68" s="3">
        <f>IF('Value at Risk'!$C$5=0,'Market Data - EQ'!C68-'Market Data - EQ'!C69,IF('Value at Risk'!$C$6=0,('Market Data - EQ'!C68-'Market Data - EQ'!C69)/'Market Data - EQ'!C69,LN('Market Data - EQ'!C68/'Market Data - EQ'!C69)))</f>
        <v>-3.5537829482071688E-2</v>
      </c>
      <c r="I68" s="3">
        <f>IF('Value at Risk'!$C$5=0,'Market Data - EQ'!D68-'Market Data - EQ'!D69,IF('Value at Risk'!$C$6=0,('Market Data - EQ'!D68-'Market Data - EQ'!D69)/'Market Data - EQ'!D69,LN('Market Data - EQ'!D68/'Market Data - EQ'!D69)))</f>
        <v>-1.2099471533035292E-2</v>
      </c>
      <c r="J68" s="3">
        <f>IF('Value at Risk'!$C$5=0,'Market Data - EQ'!E68-'Market Data - EQ'!E69,IF('Value at Risk'!$C$6=0,('Market Data - EQ'!E68-'Market Data - EQ'!E69)/'Market Data - EQ'!E69,LN('Market Data - EQ'!E68/'Market Data - EQ'!E69)))</f>
        <v>3.1424695484892941E-3</v>
      </c>
      <c r="K68" s="3">
        <f>IF('Value at Risk'!$C$5=0,'Market Data - EQ'!F68-'Market Data - EQ'!F69,IF('Value at Risk'!$C$6=0,('Market Data - EQ'!F68-'Market Data - EQ'!F69)/'Market Data - EQ'!F69,LN('Market Data - EQ'!F68/'Market Data - EQ'!F69)))</f>
        <v>-2.9083357684355576E-2</v>
      </c>
      <c r="L68" s="8">
        <f t="shared" ref="L68:L131" si="1">AVERAGE(G68:K68)</f>
        <v>-1.526444689760369E-2</v>
      </c>
    </row>
    <row r="69" spans="1:12" x14ac:dyDescent="0.25">
      <c r="A69" s="5">
        <v>43731</v>
      </c>
      <c r="B69" s="4">
        <v>1257.25</v>
      </c>
      <c r="C69" s="4">
        <v>313.75</v>
      </c>
      <c r="D69" s="4">
        <v>446.29998799999998</v>
      </c>
      <c r="E69" s="4">
        <v>1511.5500489999999</v>
      </c>
      <c r="F69" s="4">
        <v>725.5</v>
      </c>
      <c r="G69" s="3">
        <f>IF('Value at Risk'!$C$5=0,'Market Data - EQ'!B69-'Market Data - EQ'!B70,IF('Value at Risk'!$C$6=0,('Market Data - EQ'!B69-'Market Data - EQ'!B70)/'Market Data - EQ'!B70,LN('Market Data - EQ'!B69/'Market Data - EQ'!B70)))</f>
        <v>4.8057706863441976E-2</v>
      </c>
      <c r="H69" s="3">
        <f>IF('Value at Risk'!$C$5=0,'Market Data - EQ'!C69-'Market Data - EQ'!C70,IF('Value at Risk'!$C$6=0,('Market Data - EQ'!C69-'Market Data - EQ'!C70)/'Market Data - EQ'!C70,LN('Market Data - EQ'!C69/'Market Data - EQ'!C70)))</f>
        <v>3.994029672096925E-2</v>
      </c>
      <c r="I69" s="3">
        <f>IF('Value at Risk'!$C$5=0,'Market Data - EQ'!D69-'Market Data - EQ'!D70,IF('Value at Risk'!$C$6=0,('Market Data - EQ'!D69-'Market Data - EQ'!D70)/'Market Data - EQ'!D70,LN('Market Data - EQ'!D69/'Market Data - EQ'!D70)))</f>
        <v>6.8982007185628705E-2</v>
      </c>
      <c r="J69" s="3">
        <f>IF('Value at Risk'!$C$5=0,'Market Data - EQ'!E69-'Market Data - EQ'!E70,IF('Value at Risk'!$C$6=0,('Market Data - EQ'!E69-'Market Data - EQ'!E70)/'Market Data - EQ'!E70,LN('Market Data - EQ'!E69/'Market Data - EQ'!E70)))</f>
        <v>6.4771819212823073E-2</v>
      </c>
      <c r="K69" s="3">
        <f>IF('Value at Risk'!$C$5=0,'Market Data - EQ'!F69-'Market Data - EQ'!F70,IF('Value at Risk'!$C$6=0,('Market Data - EQ'!F69-'Market Data - EQ'!F70)/'Market Data - EQ'!F70,LN('Market Data - EQ'!F69/'Market Data - EQ'!F70)))</f>
        <v>6.6362939064761622E-2</v>
      </c>
      <c r="L69" s="8">
        <f t="shared" si="1"/>
        <v>5.7622953809524924E-2</v>
      </c>
    </row>
    <row r="70" spans="1:12" x14ac:dyDescent="0.25">
      <c r="A70" s="5">
        <v>43728</v>
      </c>
      <c r="B70" s="4">
        <v>1199.599976</v>
      </c>
      <c r="C70" s="4">
        <v>301.70001200000002</v>
      </c>
      <c r="D70" s="4">
        <v>417.5</v>
      </c>
      <c r="E70" s="4">
        <v>1419.599976</v>
      </c>
      <c r="F70" s="4">
        <v>680.34997599999997</v>
      </c>
      <c r="G70" s="3">
        <f>IF('Value at Risk'!$C$5=0,'Market Data - EQ'!B70-'Market Data - EQ'!B71,IF('Value at Risk'!$C$6=0,('Market Data - EQ'!B70-'Market Data - EQ'!B71)/'Market Data - EQ'!B71,LN('Market Data - EQ'!B70/'Market Data - EQ'!B71)))</f>
        <v>8.9505401765801143E-2</v>
      </c>
      <c r="H70" s="3">
        <f>IF('Value at Risk'!$C$5=0,'Market Data - EQ'!C70-'Market Data - EQ'!C71,IF('Value at Risk'!$C$6=0,('Market Data - EQ'!C70-'Market Data - EQ'!C71)/'Market Data - EQ'!C71,LN('Market Data - EQ'!C70/'Market Data - EQ'!C71)))</f>
        <v>0.10089408943889475</v>
      </c>
      <c r="I70" s="3">
        <f>IF('Value at Risk'!$C$5=0,'Market Data - EQ'!D70-'Market Data - EQ'!D71,IF('Value at Risk'!$C$6=0,('Market Data - EQ'!D70-'Market Data - EQ'!D71)/'Market Data - EQ'!D71,LN('Market Data - EQ'!D70/'Market Data - EQ'!D71)))</f>
        <v>7.9927556959220505E-2</v>
      </c>
      <c r="J70" s="3">
        <f>IF('Value at Risk'!$C$5=0,'Market Data - EQ'!E70-'Market Data - EQ'!E71,IF('Value at Risk'!$C$6=0,('Market Data - EQ'!E70-'Market Data - EQ'!E71)/'Market Data - EQ'!E71,LN('Market Data - EQ'!E70/'Market Data - EQ'!E71)))</f>
        <v>0.10711637824137256</v>
      </c>
      <c r="K70" s="3">
        <f>IF('Value at Risk'!$C$5=0,'Market Data - EQ'!F70-'Market Data - EQ'!F71,IF('Value at Risk'!$C$6=0,('Market Data - EQ'!F70-'Market Data - EQ'!F71)/'Market Data - EQ'!F71,LN('Market Data - EQ'!F70/'Market Data - EQ'!F71)))</f>
        <v>6.6045069268973869E-2</v>
      </c>
      <c r="L70" s="8">
        <f t="shared" si="1"/>
        <v>8.8697699134852565E-2</v>
      </c>
    </row>
    <row r="71" spans="1:12" x14ac:dyDescent="0.25">
      <c r="A71" s="5">
        <v>43727</v>
      </c>
      <c r="B71" s="4">
        <v>1101.0500489999999</v>
      </c>
      <c r="C71" s="4">
        <v>274.04998799999998</v>
      </c>
      <c r="D71" s="4">
        <v>386.60000600000001</v>
      </c>
      <c r="E71" s="4">
        <v>1282.25</v>
      </c>
      <c r="F71" s="4">
        <v>638.20001200000002</v>
      </c>
      <c r="G71" s="3">
        <f>IF('Value at Risk'!$C$5=0,'Market Data - EQ'!B71-'Market Data - EQ'!B72,IF('Value at Risk'!$C$6=0,('Market Data - EQ'!B71-'Market Data - EQ'!B72)/'Market Data - EQ'!B72,LN('Market Data - EQ'!B71/'Market Data - EQ'!B72)))</f>
        <v>6.554689698345809E-3</v>
      </c>
      <c r="H71" s="3">
        <f>IF('Value at Risk'!$C$5=0,'Market Data - EQ'!C71-'Market Data - EQ'!C72,IF('Value at Risk'!$C$6=0,('Market Data - EQ'!C71-'Market Data - EQ'!C72)/'Market Data - EQ'!C72,LN('Market Data - EQ'!C71/'Market Data - EQ'!C72)))</f>
        <v>-2.2646241568749847E-2</v>
      </c>
      <c r="I71" s="3">
        <f>IF('Value at Risk'!$C$5=0,'Market Data - EQ'!D71-'Market Data - EQ'!D72,IF('Value at Risk'!$C$6=0,('Market Data - EQ'!D71-'Market Data - EQ'!D72)/'Market Data - EQ'!D72,LN('Market Data - EQ'!D71/'Market Data - EQ'!D72)))</f>
        <v>-3.1926880702237925E-2</v>
      </c>
      <c r="J71" s="3">
        <f>IF('Value at Risk'!$C$5=0,'Market Data - EQ'!E71-'Market Data - EQ'!E72,IF('Value at Risk'!$C$6=0,('Market Data - EQ'!E71-'Market Data - EQ'!E72)/'Market Data - EQ'!E72,LN('Market Data - EQ'!E71/'Market Data - EQ'!E72)))</f>
        <v>-3.6192140056666169E-2</v>
      </c>
      <c r="K71" s="3">
        <f>IF('Value at Risk'!$C$5=0,'Market Data - EQ'!F71-'Market Data - EQ'!F72,IF('Value at Risk'!$C$6=0,('Market Data - EQ'!F71-'Market Data - EQ'!F72)/'Market Data - EQ'!F72,LN('Market Data - EQ'!F71/'Market Data - EQ'!F72)))</f>
        <v>-1.5731048153076587E-2</v>
      </c>
      <c r="L71" s="8">
        <f t="shared" si="1"/>
        <v>-1.9988324156476944E-2</v>
      </c>
    </row>
    <row r="72" spans="1:12" x14ac:dyDescent="0.25">
      <c r="A72" s="5">
        <v>43726</v>
      </c>
      <c r="B72" s="4">
        <v>1093.880005</v>
      </c>
      <c r="C72" s="4">
        <v>280.39999399999999</v>
      </c>
      <c r="D72" s="4">
        <v>399.35000600000001</v>
      </c>
      <c r="E72" s="4">
        <v>1330.400024</v>
      </c>
      <c r="F72" s="4">
        <v>648.40002400000003</v>
      </c>
      <c r="G72" s="3">
        <f>IF('Value at Risk'!$C$5=0,'Market Data - EQ'!B72-'Market Data - EQ'!B73,IF('Value at Risk'!$C$6=0,('Market Data - EQ'!B72-'Market Data - EQ'!B73)/'Market Data - EQ'!B73,LN('Market Data - EQ'!B72/'Market Data - EQ'!B73)))</f>
        <v>-1.0672209340587368E-2</v>
      </c>
      <c r="H72" s="3">
        <f>IF('Value at Risk'!$C$5=0,'Market Data - EQ'!C72-'Market Data - EQ'!C73,IF('Value at Risk'!$C$6=0,('Market Data - EQ'!C72-'Market Data - EQ'!C73)/'Market Data - EQ'!C73,LN('Market Data - EQ'!C72/'Market Data - EQ'!C73)))</f>
        <v>2.3544375679749839E-2</v>
      </c>
      <c r="I72" s="3">
        <f>IF('Value at Risk'!$C$5=0,'Market Data - EQ'!D72-'Market Data - EQ'!D73,IF('Value at Risk'!$C$6=0,('Market Data - EQ'!D72-'Market Data - EQ'!D73)/'Market Data - EQ'!D73,LN('Market Data - EQ'!D72/'Market Data - EQ'!D73)))</f>
        <v>-3.2446974153704463E-3</v>
      </c>
      <c r="J72" s="3">
        <f>IF('Value at Risk'!$C$5=0,'Market Data - EQ'!E72-'Market Data - EQ'!E73,IF('Value at Risk'!$C$6=0,('Market Data - EQ'!E72-'Market Data - EQ'!E73)/'Market Data - EQ'!E73,LN('Market Data - EQ'!E72/'Market Data - EQ'!E73)))</f>
        <v>-1.6508720093207771E-3</v>
      </c>
      <c r="K72" s="3">
        <f>IF('Value at Risk'!$C$5=0,'Market Data - EQ'!F72-'Market Data - EQ'!F73,IF('Value at Risk'!$C$6=0,('Market Data - EQ'!F72-'Market Data - EQ'!F73)/'Market Data - EQ'!F73,LN('Market Data - EQ'!F72/'Market Data - EQ'!F73)))</f>
        <v>1.2413165510253774E-2</v>
      </c>
      <c r="L72" s="8">
        <f t="shared" si="1"/>
        <v>4.0779524849450044E-3</v>
      </c>
    </row>
    <row r="73" spans="1:12" x14ac:dyDescent="0.25">
      <c r="A73" s="5">
        <v>43725</v>
      </c>
      <c r="B73" s="4">
        <v>1105.6800539999999</v>
      </c>
      <c r="C73" s="4">
        <v>273.95001200000002</v>
      </c>
      <c r="D73" s="4">
        <v>400.64999399999999</v>
      </c>
      <c r="E73" s="4">
        <v>1332.599976</v>
      </c>
      <c r="F73" s="4">
        <v>640.45001200000002</v>
      </c>
      <c r="G73" s="3">
        <f>IF('Value at Risk'!$C$5=0,'Market Data - EQ'!B73-'Market Data - EQ'!B74,IF('Value at Risk'!$C$6=0,('Market Data - EQ'!B73-'Market Data - EQ'!B74)/'Market Data - EQ'!B74,LN('Market Data - EQ'!B73/'Market Data - EQ'!B74)))</f>
        <v>-1.460683628362696E-2</v>
      </c>
      <c r="H73" s="3">
        <f>IF('Value at Risk'!$C$5=0,'Market Data - EQ'!C73-'Market Data - EQ'!C74,IF('Value at Risk'!$C$6=0,('Market Data - EQ'!C73-'Market Data - EQ'!C74)/'Market Data - EQ'!C74,LN('Market Data - EQ'!C73/'Market Data - EQ'!C74)))</f>
        <v>-3.7759043016829939E-2</v>
      </c>
      <c r="I73" s="3">
        <f>IF('Value at Risk'!$C$5=0,'Market Data - EQ'!D73-'Market Data - EQ'!D74,IF('Value at Risk'!$C$6=0,('Market Data - EQ'!D73-'Market Data - EQ'!D74)/'Market Data - EQ'!D74,LN('Market Data - EQ'!D73/'Market Data - EQ'!D74)))</f>
        <v>-2.7902463101819191E-2</v>
      </c>
      <c r="J73" s="3">
        <f>IF('Value at Risk'!$C$5=0,'Market Data - EQ'!E73-'Market Data - EQ'!E74,IF('Value at Risk'!$C$6=0,('Market Data - EQ'!E73-'Market Data - EQ'!E74)/'Market Data - EQ'!E74,LN('Market Data - EQ'!E73/'Market Data - EQ'!E74)))</f>
        <v>-3.1505488239957129E-2</v>
      </c>
      <c r="K73" s="3">
        <f>IF('Value at Risk'!$C$5=0,'Market Data - EQ'!F73-'Market Data - EQ'!F74,IF('Value at Risk'!$C$6=0,('Market Data - EQ'!F73-'Market Data - EQ'!F74)/'Market Data - EQ'!F74,LN('Market Data - EQ'!F73/'Market Data - EQ'!F74)))</f>
        <v>-4.5386810121801416E-2</v>
      </c>
      <c r="L73" s="8">
        <f t="shared" si="1"/>
        <v>-3.1432128152806924E-2</v>
      </c>
    </row>
    <row r="74" spans="1:12" x14ac:dyDescent="0.25">
      <c r="A74" s="5">
        <v>43724</v>
      </c>
      <c r="B74" s="4">
        <v>1122.0699460000001</v>
      </c>
      <c r="C74" s="4">
        <v>284.70001200000002</v>
      </c>
      <c r="D74" s="4">
        <v>412.14999399999999</v>
      </c>
      <c r="E74" s="4">
        <v>1375.9499510000001</v>
      </c>
      <c r="F74" s="4">
        <v>670.90002400000003</v>
      </c>
      <c r="G74" s="3">
        <f>IF('Value at Risk'!$C$5=0,'Market Data - EQ'!B74-'Market Data - EQ'!B75,IF('Value at Risk'!$C$6=0,('Market Data - EQ'!B74-'Market Data - EQ'!B75)/'Market Data - EQ'!B75,LN('Market Data - EQ'!B74/'Market Data - EQ'!B75)))</f>
        <v>-5.891651756731355E-3</v>
      </c>
      <c r="H74" s="3">
        <f>IF('Value at Risk'!$C$5=0,'Market Data - EQ'!C74-'Market Data - EQ'!C75,IF('Value at Risk'!$C$6=0,('Market Data - EQ'!C74-'Market Data - EQ'!C75)/'Market Data - EQ'!C75,LN('Market Data - EQ'!C74/'Market Data - EQ'!C75)))</f>
        <v>-2.3997256469087836E-2</v>
      </c>
      <c r="I74" s="3">
        <f>IF('Value at Risk'!$C$5=0,'Market Data - EQ'!D74-'Market Data - EQ'!D75,IF('Value at Risk'!$C$6=0,('Market Data - EQ'!D74-'Market Data - EQ'!D75)/'Market Data - EQ'!D75,LN('Market Data - EQ'!D74/'Market Data - EQ'!D75)))</f>
        <v>-3.02370589777996E-3</v>
      </c>
      <c r="J74" s="3">
        <f>IF('Value at Risk'!$C$5=0,'Market Data - EQ'!E74-'Market Data - EQ'!E75,IF('Value at Risk'!$C$6=0,('Market Data - EQ'!E74-'Market Data - EQ'!E75)/'Market Data - EQ'!E75,LN('Market Data - EQ'!E74/'Market Data - EQ'!E75)))</f>
        <v>-1.6194784347686786E-2</v>
      </c>
      <c r="K74" s="3">
        <f>IF('Value at Risk'!$C$5=0,'Market Data - EQ'!F74-'Market Data - EQ'!F75,IF('Value at Risk'!$C$6=0,('Market Data - EQ'!F74-'Market Data - EQ'!F75)/'Market Data - EQ'!F75,LN('Market Data - EQ'!F74/'Market Data - EQ'!F75)))</f>
        <v>-4.9684479050796735E-3</v>
      </c>
      <c r="L74" s="8">
        <f t="shared" si="1"/>
        <v>-1.0815169275273121E-2</v>
      </c>
    </row>
    <row r="75" spans="1:12" x14ac:dyDescent="0.25">
      <c r="A75" s="5">
        <v>43721</v>
      </c>
      <c r="B75" s="4">
        <v>1128.719971</v>
      </c>
      <c r="C75" s="4">
        <v>291.70001200000002</v>
      </c>
      <c r="D75" s="4">
        <v>413.39999399999999</v>
      </c>
      <c r="E75" s="4">
        <v>1398.599976</v>
      </c>
      <c r="F75" s="4">
        <v>674.25</v>
      </c>
      <c r="G75" s="3">
        <f>IF('Value at Risk'!$C$5=0,'Market Data - EQ'!B75-'Market Data - EQ'!B76,IF('Value at Risk'!$C$6=0,('Market Data - EQ'!B75-'Market Data - EQ'!B76)/'Market Data - EQ'!B76,LN('Market Data - EQ'!B75/'Market Data - EQ'!B76)))</f>
        <v>-5.9097281918520901E-3</v>
      </c>
      <c r="H75" s="3">
        <f>IF('Value at Risk'!$C$5=0,'Market Data - EQ'!C75-'Market Data - EQ'!C76,IF('Value at Risk'!$C$6=0,('Market Data - EQ'!C75-'Market Data - EQ'!C76)/'Market Data - EQ'!C76,LN('Market Data - EQ'!C75/'Market Data - EQ'!C76)))</f>
        <v>1.6199352706470174E-2</v>
      </c>
      <c r="I75" s="3">
        <f>IF('Value at Risk'!$C$5=0,'Market Data - EQ'!D75-'Market Data - EQ'!D76,IF('Value at Risk'!$C$6=0,('Market Data - EQ'!D75-'Market Data - EQ'!D76)/'Market Data - EQ'!D76,LN('Market Data - EQ'!D75/'Market Data - EQ'!D76)))</f>
        <v>2.6570602635094972E-2</v>
      </c>
      <c r="J75" s="3">
        <f>IF('Value at Risk'!$C$5=0,'Market Data - EQ'!E75-'Market Data - EQ'!E76,IF('Value at Risk'!$C$6=0,('Market Data - EQ'!E75-'Market Data - EQ'!E76)/'Market Data - EQ'!E76,LN('Market Data - EQ'!E75/'Market Data - EQ'!E76)))</f>
        <v>6.0060967451896919E-3</v>
      </c>
      <c r="K75" s="3">
        <f>IF('Value at Risk'!$C$5=0,'Market Data - EQ'!F75-'Market Data - EQ'!F76,IF('Value at Risk'!$C$6=0,('Market Data - EQ'!F75-'Market Data - EQ'!F76)/'Market Data - EQ'!F76,LN('Market Data - EQ'!F75/'Market Data - EQ'!F76)))</f>
        <v>1.7121700994236152E-2</v>
      </c>
      <c r="L75" s="8">
        <f t="shared" si="1"/>
        <v>1.1997604977827781E-2</v>
      </c>
    </row>
    <row r="76" spans="1:12" x14ac:dyDescent="0.25">
      <c r="A76" s="5">
        <v>43720</v>
      </c>
      <c r="B76" s="4">
        <v>1135.4300539999999</v>
      </c>
      <c r="C76" s="4">
        <v>287.04998799999998</v>
      </c>
      <c r="D76" s="4">
        <v>402.70001200000002</v>
      </c>
      <c r="E76" s="4">
        <v>1390.25</v>
      </c>
      <c r="F76" s="4">
        <v>662.90002400000003</v>
      </c>
      <c r="G76" s="3">
        <f>IF('Value at Risk'!$C$5=0,'Market Data - EQ'!B76-'Market Data - EQ'!B77,IF('Value at Risk'!$C$6=0,('Market Data - EQ'!B76-'Market Data - EQ'!B77)/'Market Data - EQ'!B77,LN('Market Data - EQ'!B76/'Market Data - EQ'!B77)))</f>
        <v>8.688339884937361E-3</v>
      </c>
      <c r="H76" s="3">
        <f>IF('Value at Risk'!$C$5=0,'Market Data - EQ'!C76-'Market Data - EQ'!C77,IF('Value at Risk'!$C$6=0,('Market Data - EQ'!C76-'Market Data - EQ'!C77)/'Market Data - EQ'!C77,LN('Market Data - EQ'!C76/'Market Data - EQ'!C77)))</f>
        <v>6.3102120946537596E-3</v>
      </c>
      <c r="I76" s="3">
        <f>IF('Value at Risk'!$C$5=0,'Market Data - EQ'!D76-'Market Data - EQ'!D77,IF('Value at Risk'!$C$6=0,('Market Data - EQ'!D76-'Market Data - EQ'!D77)/'Market Data - EQ'!D77,LN('Market Data - EQ'!D76/'Market Data - EQ'!D77)))</f>
        <v>2.0527130960053781E-2</v>
      </c>
      <c r="J76" s="3">
        <f>IF('Value at Risk'!$C$5=0,'Market Data - EQ'!E76-'Market Data - EQ'!E77,IF('Value at Risk'!$C$6=0,('Market Data - EQ'!E76-'Market Data - EQ'!E77)/'Market Data - EQ'!E77,LN('Market Data - EQ'!E76/'Market Data - EQ'!E77)))</f>
        <v>1.3190959941272406E-2</v>
      </c>
      <c r="K76" s="3">
        <f>IF('Value at Risk'!$C$5=0,'Market Data - EQ'!F76-'Market Data - EQ'!F77,IF('Value at Risk'!$C$6=0,('Market Data - EQ'!F76-'Market Data - EQ'!F77)/'Market Data - EQ'!F77,LN('Market Data - EQ'!F76/'Market Data - EQ'!F77)))</f>
        <v>-2.7578095451170365E-2</v>
      </c>
      <c r="L76" s="8">
        <f t="shared" si="1"/>
        <v>4.2277094859493871E-3</v>
      </c>
    </row>
    <row r="77" spans="1:12" x14ac:dyDescent="0.25">
      <c r="A77" s="5">
        <v>43719</v>
      </c>
      <c r="B77" s="4">
        <v>1125.650024</v>
      </c>
      <c r="C77" s="4">
        <v>285.25</v>
      </c>
      <c r="D77" s="4">
        <v>394.60000600000001</v>
      </c>
      <c r="E77" s="4">
        <v>1372.150024</v>
      </c>
      <c r="F77" s="4">
        <v>681.70001200000002</v>
      </c>
      <c r="G77" s="3">
        <f>IF('Value at Risk'!$C$5=0,'Market Data - EQ'!B77-'Market Data - EQ'!B78,IF('Value at Risk'!$C$6=0,('Market Data - EQ'!B77-'Market Data - EQ'!B78)/'Market Data - EQ'!B78,LN('Market Data - EQ'!B77/'Market Data - EQ'!B78)))</f>
        <v>7.5566764133390071E-4</v>
      </c>
      <c r="H77" s="3">
        <f>IF('Value at Risk'!$C$5=0,'Market Data - EQ'!C77-'Market Data - EQ'!C78,IF('Value at Risk'!$C$6=0,('Market Data - EQ'!C77-'Market Data - EQ'!C78)/'Market Data - EQ'!C78,LN('Market Data - EQ'!C77/'Market Data - EQ'!C78)))</f>
        <v>2.6079136690647483E-2</v>
      </c>
      <c r="I77" s="3">
        <f>IF('Value at Risk'!$C$5=0,'Market Data - EQ'!D77-'Market Data - EQ'!D78,IF('Value at Risk'!$C$6=0,('Market Data - EQ'!D77-'Market Data - EQ'!D78)/'Market Data - EQ'!D78,LN('Market Data - EQ'!D77/'Market Data - EQ'!D78)))</f>
        <v>-2.1494651010404006E-3</v>
      </c>
      <c r="J77" s="3">
        <f>IF('Value at Risk'!$C$5=0,'Market Data - EQ'!E77-'Market Data - EQ'!E78,IF('Value at Risk'!$C$6=0,('Market Data - EQ'!E77-'Market Data - EQ'!E78)/'Market Data - EQ'!E78,LN('Market Data - EQ'!E77/'Market Data - EQ'!E78)))</f>
        <v>2.7827733333333358E-2</v>
      </c>
      <c r="K77" s="3">
        <f>IF('Value at Risk'!$C$5=0,'Market Data - EQ'!F77-'Market Data - EQ'!F78,IF('Value at Risk'!$C$6=0,('Market Data - EQ'!F77-'Market Data - EQ'!F78)/'Market Data - EQ'!F78,LN('Market Data - EQ'!F77/'Market Data - EQ'!F78)))</f>
        <v>1.5114323849857668E-2</v>
      </c>
      <c r="L77" s="8">
        <f t="shared" si="1"/>
        <v>1.3525479282826403E-2</v>
      </c>
    </row>
    <row r="78" spans="1:12" x14ac:dyDescent="0.25">
      <c r="A78" s="5">
        <v>43717</v>
      </c>
      <c r="B78" s="4">
        <v>1124.8000489999999</v>
      </c>
      <c r="C78" s="4">
        <v>278</v>
      </c>
      <c r="D78" s="4">
        <v>395.45001200000002</v>
      </c>
      <c r="E78" s="4">
        <v>1335</v>
      </c>
      <c r="F78" s="4">
        <v>671.54998799999998</v>
      </c>
      <c r="G78" s="3">
        <f>IF('Value at Risk'!$C$5=0,'Market Data - EQ'!B78-'Market Data - EQ'!B79,IF('Value at Risk'!$C$6=0,('Market Data - EQ'!B78-'Market Data - EQ'!B79)/'Market Data - EQ'!B79,LN('Market Data - EQ'!B78/'Market Data - EQ'!B79)))</f>
        <v>1.6475338000169599E-3</v>
      </c>
      <c r="H78" s="3">
        <f>IF('Value at Risk'!$C$5=0,'Market Data - EQ'!C78-'Market Data - EQ'!C79,IF('Value at Risk'!$C$6=0,('Market Data - EQ'!C78-'Market Data - EQ'!C79)/'Market Data - EQ'!C79,LN('Market Data - EQ'!C78/'Market Data - EQ'!C79)))</f>
        <v>1.4783675205679438E-2</v>
      </c>
      <c r="I78" s="3">
        <f>IF('Value at Risk'!$C$5=0,'Market Data - EQ'!D78-'Market Data - EQ'!D79,IF('Value at Risk'!$C$6=0,('Market Data - EQ'!D78-'Market Data - EQ'!D79)/'Market Data - EQ'!D79,LN('Market Data - EQ'!D78/'Market Data - EQ'!D79)))</f>
        <v>1.0476570683890593E-2</v>
      </c>
      <c r="J78" s="3">
        <f>IF('Value at Risk'!$C$5=0,'Market Data - EQ'!E78-'Market Data - EQ'!E79,IF('Value at Risk'!$C$6=0,('Market Data - EQ'!E78-'Market Data - EQ'!E79)/'Market Data - EQ'!E79,LN('Market Data - EQ'!E78/'Market Data - EQ'!E79)))</f>
        <v>2.9299256782497536E-3</v>
      </c>
      <c r="K78" s="3">
        <f>IF('Value at Risk'!$C$5=0,'Market Data - EQ'!F78-'Market Data - EQ'!F79,IF('Value at Risk'!$C$6=0,('Market Data - EQ'!F78-'Market Data - EQ'!F79)/'Market Data - EQ'!F79,LN('Market Data - EQ'!F78/'Market Data - EQ'!F79)))</f>
        <v>6.7055880806649764E-4</v>
      </c>
      <c r="L78" s="8">
        <f t="shared" si="1"/>
        <v>6.1016528351806485E-3</v>
      </c>
    </row>
    <row r="79" spans="1:12" x14ac:dyDescent="0.25">
      <c r="A79" s="5">
        <v>43714</v>
      </c>
      <c r="B79" s="4">
        <v>1122.9499510000001</v>
      </c>
      <c r="C79" s="4">
        <v>273.95001200000002</v>
      </c>
      <c r="D79" s="4">
        <v>391.35000600000001</v>
      </c>
      <c r="E79" s="4">
        <v>1331.099976</v>
      </c>
      <c r="F79" s="4">
        <v>671.09997599999997</v>
      </c>
      <c r="G79" s="3">
        <f>IF('Value at Risk'!$C$5=0,'Market Data - EQ'!B79-'Market Data - EQ'!B80,IF('Value at Risk'!$C$6=0,('Market Data - EQ'!B79-'Market Data - EQ'!B80)/'Market Data - EQ'!B80,LN('Market Data - EQ'!B79/'Market Data - EQ'!B80)))</f>
        <v>4.8140208308715404E-3</v>
      </c>
      <c r="H79" s="3">
        <f>IF('Value at Risk'!$C$5=0,'Market Data - EQ'!C79-'Market Data - EQ'!C80,IF('Value at Risk'!$C$6=0,('Market Data - EQ'!C79-'Market Data - EQ'!C80)/'Market Data - EQ'!C80,LN('Market Data - EQ'!C79/'Market Data - EQ'!C80)))</f>
        <v>2.3784267418263858E-3</v>
      </c>
      <c r="I79" s="3">
        <f>IF('Value at Risk'!$C$5=0,'Market Data - EQ'!D79-'Market Data - EQ'!D80,IF('Value at Risk'!$C$6=0,('Market Data - EQ'!D79-'Market Data - EQ'!D80)/'Market Data - EQ'!D80,LN('Market Data - EQ'!D79/'Market Data - EQ'!D80)))</f>
        <v>6.0411465295630018E-3</v>
      </c>
      <c r="J79" s="3">
        <f>IF('Value at Risk'!$C$5=0,'Market Data - EQ'!E79-'Market Data - EQ'!E80,IF('Value at Risk'!$C$6=0,('Market Data - EQ'!E79-'Market Data - EQ'!E80)/'Market Data - EQ'!E80,LN('Market Data - EQ'!E79/'Market Data - EQ'!E80)))</f>
        <v>1.7582753934703842E-2</v>
      </c>
      <c r="K79" s="3">
        <f>IF('Value at Risk'!$C$5=0,'Market Data - EQ'!F79-'Market Data - EQ'!F80,IF('Value at Risk'!$C$6=0,('Market Data - EQ'!F79-'Market Data - EQ'!F80)/'Market Data - EQ'!F80,LN('Market Data - EQ'!F79/'Market Data - EQ'!F80)))</f>
        <v>3.3097291863200443E-2</v>
      </c>
      <c r="L79" s="8">
        <f t="shared" si="1"/>
        <v>1.2782727980033043E-2</v>
      </c>
    </row>
    <row r="80" spans="1:12" x14ac:dyDescent="0.25">
      <c r="A80" s="5">
        <v>43713</v>
      </c>
      <c r="B80" s="4">
        <v>1117.5699460000001</v>
      </c>
      <c r="C80" s="4">
        <v>273.29998799999998</v>
      </c>
      <c r="D80" s="4">
        <v>389</v>
      </c>
      <c r="E80" s="4">
        <v>1308.099976</v>
      </c>
      <c r="F80" s="4">
        <v>649.59997599999997</v>
      </c>
      <c r="G80" s="3">
        <f>IF('Value at Risk'!$C$5=0,'Market Data - EQ'!B80-'Market Data - EQ'!B81,IF('Value at Risk'!$C$6=0,('Market Data - EQ'!B80-'Market Data - EQ'!B81)/'Market Data - EQ'!B81,LN('Market Data - EQ'!B80/'Market Data - EQ'!B81)))</f>
        <v>-5.6145308857949742E-3</v>
      </c>
      <c r="H80" s="3">
        <f>IF('Value at Risk'!$C$5=0,'Market Data - EQ'!C80-'Market Data - EQ'!C81,IF('Value at Risk'!$C$6=0,('Market Data - EQ'!C80-'Market Data - EQ'!C81)/'Market Data - EQ'!C81,LN('Market Data - EQ'!C80/'Market Data - EQ'!C81)))</f>
        <v>-6.5431405334103214E-3</v>
      </c>
      <c r="I80" s="3">
        <f>IF('Value at Risk'!$C$5=0,'Market Data - EQ'!D80-'Market Data - EQ'!D81,IF('Value at Risk'!$C$6=0,('Market Data - EQ'!D80-'Market Data - EQ'!D81)/'Market Data - EQ'!D81,LN('Market Data - EQ'!D80/'Market Data - EQ'!D81)))</f>
        <v>-2.1383647798742137E-2</v>
      </c>
      <c r="J80" s="3">
        <f>IF('Value at Risk'!$C$5=0,'Market Data - EQ'!E80-'Market Data - EQ'!E81,IF('Value at Risk'!$C$6=0,('Market Data - EQ'!E80-'Market Data - EQ'!E81)/'Market Data - EQ'!E81,LN('Market Data - EQ'!E80/'Market Data - EQ'!E81)))</f>
        <v>-7.2100790627215375E-3</v>
      </c>
      <c r="K80" s="3">
        <f>IF('Value at Risk'!$C$5=0,'Market Data - EQ'!F80-'Market Data - EQ'!F81,IF('Value at Risk'!$C$6=0,('Market Data - EQ'!F80-'Market Data - EQ'!F81)/'Market Data - EQ'!F81,LN('Market Data - EQ'!F80/'Market Data - EQ'!F81)))</f>
        <v>3.5532025994722944E-3</v>
      </c>
      <c r="L80" s="8">
        <f t="shared" si="1"/>
        <v>-7.4396391362393345E-3</v>
      </c>
    </row>
    <row r="81" spans="1:12" x14ac:dyDescent="0.25">
      <c r="A81" s="5">
        <v>43712</v>
      </c>
      <c r="B81" s="4">
        <v>1123.880005</v>
      </c>
      <c r="C81" s="4">
        <v>275.10000600000001</v>
      </c>
      <c r="D81" s="4">
        <v>397.5</v>
      </c>
      <c r="E81" s="4">
        <v>1317.599976</v>
      </c>
      <c r="F81" s="4">
        <v>647.29998799999998</v>
      </c>
      <c r="G81" s="3">
        <f>IF('Value at Risk'!$C$5=0,'Market Data - EQ'!B81-'Market Data - EQ'!B82,IF('Value at Risk'!$C$6=0,('Market Data - EQ'!B81-'Market Data - EQ'!B82)/'Market Data - EQ'!B82,LN('Market Data - EQ'!B81/'Market Data - EQ'!B82)))</f>
        <v>1.6653581266749755E-2</v>
      </c>
      <c r="H81" s="3">
        <f>IF('Value at Risk'!$C$5=0,'Market Data - EQ'!C81-'Market Data - EQ'!C82,IF('Value at Risk'!$C$6=0,('Market Data - EQ'!C81-'Market Data - EQ'!C82)/'Market Data - EQ'!C82,LN('Market Data - EQ'!C81/'Market Data - EQ'!C82)))</f>
        <v>2.4962787443281446E-2</v>
      </c>
      <c r="I81" s="3">
        <f>IF('Value at Risk'!$C$5=0,'Market Data - EQ'!D81-'Market Data - EQ'!D82,IF('Value at Risk'!$C$6=0,('Market Data - EQ'!D81-'Market Data - EQ'!D82)/'Market Data - EQ'!D82,LN('Market Data - EQ'!D81/'Market Data - EQ'!D82)))</f>
        <v>1.3642754256933657E-2</v>
      </c>
      <c r="J81" s="3">
        <f>IF('Value at Risk'!$C$5=0,'Market Data - EQ'!E81-'Market Data - EQ'!E82,IF('Value at Risk'!$C$6=0,('Market Data - EQ'!E81-'Market Data - EQ'!E82)/'Market Data - EQ'!E82,LN('Market Data - EQ'!E81/'Market Data - EQ'!E82)))</f>
        <v>-1.9606366279037189E-2</v>
      </c>
      <c r="K81" s="3">
        <f>IF('Value at Risk'!$C$5=0,'Market Data - EQ'!F81-'Market Data - EQ'!F82,IF('Value at Risk'!$C$6=0,('Market Data - EQ'!F81-'Market Data - EQ'!F82)/'Market Data - EQ'!F82,LN('Market Data - EQ'!F81/'Market Data - EQ'!F82)))</f>
        <v>2.4778937126610579E-3</v>
      </c>
      <c r="L81" s="8">
        <f t="shared" si="1"/>
        <v>7.626130080117745E-3</v>
      </c>
    </row>
    <row r="82" spans="1:12" x14ac:dyDescent="0.25">
      <c r="A82" s="5">
        <v>43711</v>
      </c>
      <c r="B82" s="4">
        <v>1105.469971</v>
      </c>
      <c r="C82" s="4">
        <v>268.39999399999999</v>
      </c>
      <c r="D82" s="4">
        <v>392.14999399999999</v>
      </c>
      <c r="E82" s="4">
        <v>1343.9499510000001</v>
      </c>
      <c r="F82" s="4">
        <v>645.70001200000002</v>
      </c>
      <c r="G82" s="3">
        <f>IF('Value at Risk'!$C$5=0,'Market Data - EQ'!B82-'Market Data - EQ'!B83,IF('Value at Risk'!$C$6=0,('Market Data - EQ'!B82-'Market Data - EQ'!B83)/'Market Data - EQ'!B83,LN('Market Data - EQ'!B82/'Market Data - EQ'!B83)))</f>
        <v>-7.6303672641818455E-3</v>
      </c>
      <c r="H82" s="3">
        <f>IF('Value at Risk'!$C$5=0,'Market Data - EQ'!C82-'Market Data - EQ'!C83,IF('Value at Risk'!$C$6=0,('Market Data - EQ'!C82-'Market Data - EQ'!C83)/'Market Data - EQ'!C83,LN('Market Data - EQ'!C82/'Market Data - EQ'!C83)))</f>
        <v>-1.9901449262703375E-2</v>
      </c>
      <c r="I82" s="3">
        <f>IF('Value at Risk'!$C$5=0,'Market Data - EQ'!D82-'Market Data - EQ'!D83,IF('Value at Risk'!$C$6=0,('Market Data - EQ'!D82-'Market Data - EQ'!D83)/'Market Data - EQ'!D83,LN('Market Data - EQ'!D82/'Market Data - EQ'!D83)))</f>
        <v>-4.2719395230846752E-2</v>
      </c>
      <c r="J82" s="3">
        <f>IF('Value at Risk'!$C$5=0,'Market Data - EQ'!E82-'Market Data - EQ'!E83,IF('Value at Risk'!$C$6=0,('Market Data - EQ'!E82-'Market Data - EQ'!E83)/'Market Data - EQ'!E83,LN('Market Data - EQ'!E82/'Market Data - EQ'!E83)))</f>
        <v>-3.7112698549167072E-2</v>
      </c>
      <c r="K82" s="3">
        <f>IF('Value at Risk'!$C$5=0,'Market Data - EQ'!F82-'Market Data - EQ'!F83,IF('Value at Risk'!$C$6=0,('Market Data - EQ'!F82-'Market Data - EQ'!F83)/'Market Data - EQ'!F83,LN('Market Data - EQ'!F82/'Market Data - EQ'!F83)))</f>
        <v>-2.741378421760686E-2</v>
      </c>
      <c r="L82" s="8">
        <f t="shared" si="1"/>
        <v>-2.6955538904901176E-2</v>
      </c>
    </row>
    <row r="83" spans="1:12" x14ac:dyDescent="0.25">
      <c r="A83" s="5">
        <v>43707</v>
      </c>
      <c r="B83" s="4">
        <v>1113.969971</v>
      </c>
      <c r="C83" s="4">
        <v>273.85000600000001</v>
      </c>
      <c r="D83" s="4">
        <v>409.64999399999999</v>
      </c>
      <c r="E83" s="4">
        <v>1395.75</v>
      </c>
      <c r="F83" s="4">
        <v>663.90002400000003</v>
      </c>
      <c r="G83" s="3">
        <f>IF('Value at Risk'!$C$5=0,'Market Data - EQ'!B83-'Market Data - EQ'!B84,IF('Value at Risk'!$C$6=0,('Market Data - EQ'!B83-'Market Data - EQ'!B84)/'Market Data - EQ'!B84,LN('Market Data - EQ'!B83/'Market Data - EQ'!B84)))</f>
        <v>4.4904668560657573E-4</v>
      </c>
      <c r="H83" s="3">
        <f>IF('Value at Risk'!$C$5=0,'Market Data - EQ'!C83-'Market Data - EQ'!C84,IF('Value at Risk'!$C$6=0,('Market Data - EQ'!C83-'Market Data - EQ'!C84)/'Market Data - EQ'!C84,LN('Market Data - EQ'!C83/'Market Data - EQ'!C84)))</f>
        <v>-2.3679198542804823E-3</v>
      </c>
      <c r="I83" s="3">
        <f>IF('Value at Risk'!$C$5=0,'Market Data - EQ'!D83-'Market Data - EQ'!D84,IF('Value at Risk'!$C$6=0,('Market Data - EQ'!D83-'Market Data - EQ'!D84)/'Market Data - EQ'!D84,LN('Market Data - EQ'!D83/'Market Data - EQ'!D84)))</f>
        <v>1.2982196038311513E-2</v>
      </c>
      <c r="J83" s="3">
        <f>IF('Value at Risk'!$C$5=0,'Market Data - EQ'!E83-'Market Data - EQ'!E84,IF('Value at Risk'!$C$6=0,('Market Data - EQ'!E83-'Market Data - EQ'!E84)/'Market Data - EQ'!E84,LN('Market Data - EQ'!E83/'Market Data - EQ'!E84)))</f>
        <v>3.3467808937157027E-2</v>
      </c>
      <c r="K83" s="3">
        <f>IF('Value at Risk'!$C$5=0,'Market Data - EQ'!F83-'Market Data - EQ'!F84,IF('Value at Risk'!$C$6=0,('Market Data - EQ'!F83-'Market Data - EQ'!F84)/'Market Data - EQ'!F84,LN('Market Data - EQ'!F83/'Market Data - EQ'!F84)))</f>
        <v>4.1594190428404188E-3</v>
      </c>
      <c r="L83" s="8">
        <f t="shared" si="1"/>
        <v>9.7381101699270094E-3</v>
      </c>
    </row>
    <row r="84" spans="1:12" x14ac:dyDescent="0.25">
      <c r="A84" s="5">
        <v>43706</v>
      </c>
      <c r="B84" s="4">
        <v>1113.469971</v>
      </c>
      <c r="C84" s="4">
        <v>274.5</v>
      </c>
      <c r="D84" s="4">
        <v>404.39999399999999</v>
      </c>
      <c r="E84" s="4">
        <v>1350.5500489999999</v>
      </c>
      <c r="F84" s="4">
        <v>661.15002400000003</v>
      </c>
      <c r="G84" s="3">
        <f>IF('Value at Risk'!$C$5=0,'Market Data - EQ'!B84-'Market Data - EQ'!B85,IF('Value at Risk'!$C$6=0,('Market Data - EQ'!B84-'Market Data - EQ'!B85)/'Market Data - EQ'!B85,LN('Market Data - EQ'!B84/'Market Data - EQ'!B85)))</f>
        <v>-9.1479679644049065E-3</v>
      </c>
      <c r="H84" s="3">
        <f>IF('Value at Risk'!$C$5=0,'Market Data - EQ'!C84-'Market Data - EQ'!C85,IF('Value at Risk'!$C$6=0,('Market Data - EQ'!C84-'Market Data - EQ'!C85)/'Market Data - EQ'!C85,LN('Market Data - EQ'!C84/'Market Data - EQ'!C85)))</f>
        <v>-3.6504016212790771E-2</v>
      </c>
      <c r="I84" s="3">
        <f>IF('Value at Risk'!$C$5=0,'Market Data - EQ'!D84-'Market Data - EQ'!D85,IF('Value at Risk'!$C$6=0,('Market Data - EQ'!D84-'Market Data - EQ'!D85)/'Market Data - EQ'!D85,LN('Market Data - EQ'!D84/'Market Data - EQ'!D85)))</f>
        <v>-2.0704728784461258E-2</v>
      </c>
      <c r="J84" s="3">
        <f>IF('Value at Risk'!$C$5=0,'Market Data - EQ'!E84-'Market Data - EQ'!E85,IF('Value at Risk'!$C$6=0,('Market Data - EQ'!E84-'Market Data - EQ'!E85)/'Market Data - EQ'!E85,LN('Market Data - EQ'!E84/'Market Data - EQ'!E85)))</f>
        <v>-1.1201762469409031E-2</v>
      </c>
      <c r="K84" s="3">
        <f>IF('Value at Risk'!$C$5=0,'Market Data - EQ'!F84-'Market Data - EQ'!F85,IF('Value at Risk'!$C$6=0,('Market Data - EQ'!F84-'Market Data - EQ'!F85)/'Market Data - EQ'!F85,LN('Market Data - EQ'!F84/'Market Data - EQ'!F85)))</f>
        <v>-2.5140058534826426E-2</v>
      </c>
      <c r="L84" s="8">
        <f t="shared" si="1"/>
        <v>-2.0539706793178479E-2</v>
      </c>
    </row>
    <row r="85" spans="1:12" x14ac:dyDescent="0.25">
      <c r="A85" s="5">
        <v>43705</v>
      </c>
      <c r="B85" s="4">
        <v>1123.75</v>
      </c>
      <c r="C85" s="4">
        <v>284.89999399999999</v>
      </c>
      <c r="D85" s="4">
        <v>412.95001200000002</v>
      </c>
      <c r="E85" s="4">
        <v>1365.849976</v>
      </c>
      <c r="F85" s="4">
        <v>678.20001200000002</v>
      </c>
      <c r="G85" s="3">
        <f>IF('Value at Risk'!$C$5=0,'Market Data - EQ'!B85-'Market Data - EQ'!B86,IF('Value at Risk'!$C$6=0,('Market Data - EQ'!B85-'Market Data - EQ'!B86)/'Market Data - EQ'!B86,LN('Market Data - EQ'!B85/'Market Data - EQ'!B86)))</f>
        <v>-5.5045453946846404E-3</v>
      </c>
      <c r="H85" s="3">
        <f>IF('Value at Risk'!$C$5=0,'Market Data - EQ'!C85-'Market Data - EQ'!C86,IF('Value at Risk'!$C$6=0,('Market Data - EQ'!C85-'Market Data - EQ'!C86)/'Market Data - EQ'!C86,LN('Market Data - EQ'!C85/'Market Data - EQ'!C86)))</f>
        <v>-2.8002028925361851E-3</v>
      </c>
      <c r="I85" s="3">
        <f>IF('Value at Risk'!$C$5=0,'Market Data - EQ'!D85-'Market Data - EQ'!D86,IF('Value at Risk'!$C$6=0,('Market Data - EQ'!D85-'Market Data - EQ'!D86)/'Market Data - EQ'!D86,LN('Market Data - EQ'!D85/'Market Data - EQ'!D86)))</f>
        <v>-1.3497357666067479E-2</v>
      </c>
      <c r="J85" s="3">
        <f>IF('Value at Risk'!$C$5=0,'Market Data - EQ'!E85-'Market Data - EQ'!E86,IF('Value at Risk'!$C$6=0,('Market Data - EQ'!E85-'Market Data - EQ'!E86)/'Market Data - EQ'!E86,LN('Market Data - EQ'!E85/'Market Data - EQ'!E86)))</f>
        <v>-1.460933579873318E-2</v>
      </c>
      <c r="K85" s="3">
        <f>IF('Value at Risk'!$C$5=0,'Market Data - EQ'!F85-'Market Data - EQ'!F86,IF('Value at Risk'!$C$6=0,('Market Data - EQ'!F85-'Market Data - EQ'!F86)/'Market Data - EQ'!F86,LN('Market Data - EQ'!F85/'Market Data - EQ'!F86)))</f>
        <v>-6.9551210433246172E-3</v>
      </c>
      <c r="L85" s="8">
        <f t="shared" si="1"/>
        <v>-8.6733125590692205E-3</v>
      </c>
    </row>
    <row r="86" spans="1:12" x14ac:dyDescent="0.25">
      <c r="A86" s="5">
        <v>43704</v>
      </c>
      <c r="B86" s="4">
        <v>1129.969971</v>
      </c>
      <c r="C86" s="4">
        <v>285.70001200000002</v>
      </c>
      <c r="D86" s="4">
        <v>418.60000600000001</v>
      </c>
      <c r="E86" s="4">
        <v>1386.099976</v>
      </c>
      <c r="F86" s="4">
        <v>682.95001200000002</v>
      </c>
      <c r="G86" s="3">
        <f>IF('Value at Risk'!$C$5=0,'Market Data - EQ'!B86-'Market Data - EQ'!B87,IF('Value at Risk'!$C$6=0,('Market Data - EQ'!B86-'Market Data - EQ'!B87)/'Market Data - EQ'!B87,LN('Market Data - EQ'!B86/'Market Data - EQ'!B87)))</f>
        <v>1.6843148837863942E-3</v>
      </c>
      <c r="H86" s="3">
        <f>IF('Value at Risk'!$C$5=0,'Market Data - EQ'!C86-'Market Data - EQ'!C87,IF('Value at Risk'!$C$6=0,('Market Data - EQ'!C86-'Market Data - EQ'!C87)/'Market Data - EQ'!C87,LN('Market Data - EQ'!C86/'Market Data - EQ'!C87)))</f>
        <v>1.9628835704689405E-2</v>
      </c>
      <c r="I86" s="3">
        <f>IF('Value at Risk'!$C$5=0,'Market Data - EQ'!D86-'Market Data - EQ'!D87,IF('Value at Risk'!$C$6=0,('Market Data - EQ'!D86-'Market Data - EQ'!D87)/'Market Data - EQ'!D87,LN('Market Data - EQ'!D86/'Market Data - EQ'!D87)))</f>
        <v>1.6883304023563316E-2</v>
      </c>
      <c r="J86" s="3">
        <f>IF('Value at Risk'!$C$5=0,'Market Data - EQ'!E86-'Market Data - EQ'!E87,IF('Value at Risk'!$C$6=0,('Market Data - EQ'!E86-'Market Data - EQ'!E87)/'Market Data - EQ'!E87,LN('Market Data - EQ'!E86/'Market Data - EQ'!E87)))</f>
        <v>2.7882814979606946E-2</v>
      </c>
      <c r="K86" s="3">
        <f>IF('Value at Risk'!$C$5=0,'Market Data - EQ'!F86-'Market Data - EQ'!F87,IF('Value at Risk'!$C$6=0,('Market Data - EQ'!F86-'Market Data - EQ'!F87)/'Market Data - EQ'!F87,LN('Market Data - EQ'!F86/'Market Data - EQ'!F87)))</f>
        <v>-1.0969723370430481E-3</v>
      </c>
      <c r="L86" s="8">
        <f t="shared" si="1"/>
        <v>1.2996459450920603E-2</v>
      </c>
    </row>
    <row r="87" spans="1:12" x14ac:dyDescent="0.25">
      <c r="A87" s="5">
        <v>43703</v>
      </c>
      <c r="B87" s="4">
        <v>1128.0699460000001</v>
      </c>
      <c r="C87" s="4">
        <v>280.20001200000002</v>
      </c>
      <c r="D87" s="4">
        <v>411.64999399999999</v>
      </c>
      <c r="E87" s="4">
        <v>1348.5</v>
      </c>
      <c r="F87" s="4">
        <v>683.70001200000002</v>
      </c>
      <c r="G87" s="3">
        <f>IF('Value at Risk'!$C$5=0,'Market Data - EQ'!B87-'Market Data - EQ'!B88,IF('Value at Risk'!$C$6=0,('Market Data - EQ'!B87-'Market Data - EQ'!B88)/'Market Data - EQ'!B88,LN('Market Data - EQ'!B87/'Market Data - EQ'!B88)))</f>
        <v>4.3205225909211192E-2</v>
      </c>
      <c r="H87" s="3">
        <f>IF('Value at Risk'!$C$5=0,'Market Data - EQ'!C87-'Market Data - EQ'!C88,IF('Value at Risk'!$C$6=0,('Market Data - EQ'!C87-'Market Data - EQ'!C88)/'Market Data - EQ'!C88,LN('Market Data - EQ'!C87/'Market Data - EQ'!C88)))</f>
        <v>3.3566970854290605E-2</v>
      </c>
      <c r="I87" s="3">
        <f>IF('Value at Risk'!$C$5=0,'Market Data - EQ'!D87-'Market Data - EQ'!D88,IF('Value at Risk'!$C$6=0,('Market Data - EQ'!D87-'Market Data - EQ'!D88)/'Market Data - EQ'!D88,LN('Market Data - EQ'!D87/'Market Data - EQ'!D88)))</f>
        <v>4.1097623284233033E-2</v>
      </c>
      <c r="J87" s="3">
        <f>IF('Value at Risk'!$C$5=0,'Market Data - EQ'!E87-'Market Data - EQ'!E88,IF('Value at Risk'!$C$6=0,('Market Data - EQ'!E87-'Market Data - EQ'!E88)/'Market Data - EQ'!E88,LN('Market Data - EQ'!E87/'Market Data - EQ'!E88)))</f>
        <v>2.8996566196108357E-2</v>
      </c>
      <c r="K87" s="3">
        <f>IF('Value at Risk'!$C$5=0,'Market Data - EQ'!F87-'Market Data - EQ'!F88,IF('Value at Risk'!$C$6=0,('Market Data - EQ'!F87-'Market Data - EQ'!F88)/'Market Data - EQ'!F88,LN('Market Data - EQ'!F87/'Market Data - EQ'!F88)))</f>
        <v>2.9823749486714859E-2</v>
      </c>
      <c r="L87" s="8">
        <f t="shared" si="1"/>
        <v>3.5338027146111603E-2</v>
      </c>
    </row>
    <row r="88" spans="1:12" x14ac:dyDescent="0.25">
      <c r="A88" s="5">
        <v>43700</v>
      </c>
      <c r="B88" s="4">
        <v>1081.349976</v>
      </c>
      <c r="C88" s="4">
        <v>271.10000600000001</v>
      </c>
      <c r="D88" s="4">
        <v>395.39999399999999</v>
      </c>
      <c r="E88" s="4">
        <v>1310.5</v>
      </c>
      <c r="F88" s="4">
        <v>663.90002400000003</v>
      </c>
      <c r="G88" s="3">
        <f>IF('Value at Risk'!$C$5=0,'Market Data - EQ'!B88-'Market Data - EQ'!B89,IF('Value at Risk'!$C$6=0,('Market Data - EQ'!B88-'Market Data - EQ'!B89)/'Market Data - EQ'!B89,LN('Market Data - EQ'!B88/'Market Data - EQ'!B89)))</f>
        <v>-5.2436159726441216E-3</v>
      </c>
      <c r="H88" s="3">
        <f>IF('Value at Risk'!$C$5=0,'Market Data - EQ'!C88-'Market Data - EQ'!C89,IF('Value at Risk'!$C$6=0,('Market Data - EQ'!C88-'Market Data - EQ'!C89)/'Market Data - EQ'!C89,LN('Market Data - EQ'!C88/'Market Data - EQ'!C89)))</f>
        <v>9.4955059167607294E-3</v>
      </c>
      <c r="I88" s="3">
        <f>IF('Value at Risk'!$C$5=0,'Market Data - EQ'!D88-'Market Data - EQ'!D89,IF('Value at Risk'!$C$6=0,('Market Data - EQ'!D88-'Market Data - EQ'!D89)/'Market Data - EQ'!D89,LN('Market Data - EQ'!D88/'Market Data - EQ'!D89)))</f>
        <v>-9.2708893620012008E-3</v>
      </c>
      <c r="J88" s="3">
        <f>IF('Value at Risk'!$C$5=0,'Market Data - EQ'!E88-'Market Data - EQ'!E89,IF('Value at Risk'!$C$6=0,('Market Data - EQ'!E88-'Market Data - EQ'!E89)/'Market Data - EQ'!E89,LN('Market Data - EQ'!E88/'Market Data - EQ'!E89)))</f>
        <v>-1.8829800882031077E-2</v>
      </c>
      <c r="K88" s="3">
        <f>IF('Value at Risk'!$C$5=0,'Market Data - EQ'!F88-'Market Data - EQ'!F89,IF('Value at Risk'!$C$6=0,('Market Data - EQ'!F88-'Market Data - EQ'!F89)/'Market Data - EQ'!F89,LN('Market Data - EQ'!F88/'Market Data - EQ'!F89)))</f>
        <v>4.1594190428404188E-3</v>
      </c>
      <c r="L88" s="8">
        <f t="shared" si="1"/>
        <v>-3.9378762514150501E-3</v>
      </c>
    </row>
    <row r="89" spans="1:12" x14ac:dyDescent="0.25">
      <c r="A89" s="5">
        <v>43699</v>
      </c>
      <c r="B89" s="4">
        <v>1087.0500489999999</v>
      </c>
      <c r="C89" s="4">
        <v>268.54998799999998</v>
      </c>
      <c r="D89" s="4">
        <v>399.10000600000001</v>
      </c>
      <c r="E89" s="4">
        <v>1335.650024</v>
      </c>
      <c r="F89" s="4">
        <v>661.15002400000003</v>
      </c>
      <c r="G89" s="3">
        <f>IF('Value at Risk'!$C$5=0,'Market Data - EQ'!B89-'Market Data - EQ'!B90,IF('Value at Risk'!$C$6=0,('Market Data - EQ'!B89-'Market Data - EQ'!B90)/'Market Data - EQ'!B90,LN('Market Data - EQ'!B89/'Market Data - EQ'!B90)))</f>
        <v>-2.3253936675520837E-2</v>
      </c>
      <c r="H89" s="3">
        <f>IF('Value at Risk'!$C$5=0,'Market Data - EQ'!C89-'Market Data - EQ'!C90,IF('Value at Risk'!$C$6=0,('Market Data - EQ'!C89-'Market Data - EQ'!C90)/'Market Data - EQ'!C90,LN('Market Data - EQ'!C89/'Market Data - EQ'!C90)))</f>
        <v>-3.1903410927975752E-2</v>
      </c>
      <c r="I89" s="3">
        <f>IF('Value at Risk'!$C$5=0,'Market Data - EQ'!D89-'Market Data - EQ'!D90,IF('Value at Risk'!$C$6=0,('Market Data - EQ'!D89-'Market Data - EQ'!D90)/'Market Data - EQ'!D90,LN('Market Data - EQ'!D89/'Market Data - EQ'!D90)))</f>
        <v>-3.1428181961262375E-2</v>
      </c>
      <c r="J89" s="3">
        <f>IF('Value at Risk'!$C$5=0,'Market Data - EQ'!E89-'Market Data - EQ'!E90,IF('Value at Risk'!$C$6=0,('Market Data - EQ'!E89-'Market Data - EQ'!E90)/'Market Data - EQ'!E90,LN('Market Data - EQ'!E89/'Market Data - EQ'!E90)))</f>
        <v>-2.3076307877954293E-2</v>
      </c>
      <c r="K89" s="3">
        <f>IF('Value at Risk'!$C$5=0,'Market Data - EQ'!F89-'Market Data - EQ'!F90,IF('Value at Risk'!$C$6=0,('Market Data - EQ'!F89-'Market Data - EQ'!F90)/'Market Data - EQ'!F90,LN('Market Data - EQ'!F89/'Market Data - EQ'!F90)))</f>
        <v>-5.3407370782475403E-3</v>
      </c>
      <c r="L89" s="8">
        <f t="shared" si="1"/>
        <v>-2.3000514904192158E-2</v>
      </c>
    </row>
    <row r="90" spans="1:12" x14ac:dyDescent="0.25">
      <c r="A90" s="5">
        <v>43698</v>
      </c>
      <c r="B90" s="4">
        <v>1112.9300539999999</v>
      </c>
      <c r="C90" s="4">
        <v>277.39999399999999</v>
      </c>
      <c r="D90" s="4">
        <v>412.04998799999998</v>
      </c>
      <c r="E90" s="4">
        <v>1367.1999510000001</v>
      </c>
      <c r="F90" s="4">
        <v>664.70001200000002</v>
      </c>
      <c r="G90" s="3">
        <f>IF('Value at Risk'!$C$5=0,'Market Data - EQ'!B90-'Market Data - EQ'!B91,IF('Value at Risk'!$C$6=0,('Market Data - EQ'!B90-'Market Data - EQ'!B91)/'Market Data - EQ'!B91,LN('Market Data - EQ'!B90/'Market Data - EQ'!B91)))</f>
        <v>2.3687335710456977E-3</v>
      </c>
      <c r="H90" s="3">
        <f>IF('Value at Risk'!$C$5=0,'Market Data - EQ'!C90-'Market Data - EQ'!C91,IF('Value at Risk'!$C$6=0,('Market Data - EQ'!C90-'Market Data - EQ'!C91)/'Market Data - EQ'!C91,LN('Market Data - EQ'!C90/'Market Data - EQ'!C91)))</f>
        <v>-2.2206618729364108E-2</v>
      </c>
      <c r="I90" s="3">
        <f>IF('Value at Risk'!$C$5=0,'Market Data - EQ'!D90-'Market Data - EQ'!D91,IF('Value at Risk'!$C$6=0,('Market Data - EQ'!D90-'Market Data - EQ'!D91)/'Market Data - EQ'!D91,LN('Market Data - EQ'!D90/'Market Data - EQ'!D91)))</f>
        <v>-1.1633499807630144E-2</v>
      </c>
      <c r="J90" s="3">
        <f>IF('Value at Risk'!$C$5=0,'Market Data - EQ'!E90-'Market Data - EQ'!E91,IF('Value at Risk'!$C$6=0,('Market Data - EQ'!E90-'Market Data - EQ'!E91)/'Market Data - EQ'!E91,LN('Market Data - EQ'!E90/'Market Data - EQ'!E91)))</f>
        <v>-2.6800032489732496E-2</v>
      </c>
      <c r="K90" s="3">
        <f>IF('Value at Risk'!$C$5=0,'Market Data - EQ'!F90-'Market Data - EQ'!F91,IF('Value at Risk'!$C$6=0,('Market Data - EQ'!F90-'Market Data - EQ'!F91)/'Market Data - EQ'!F91,LN('Market Data - EQ'!F90/'Market Data - EQ'!F91)))</f>
        <v>-1.1377949391047431E-2</v>
      </c>
      <c r="L90" s="8">
        <f t="shared" si="1"/>
        <v>-1.3929873369345697E-2</v>
      </c>
    </row>
    <row r="91" spans="1:12" x14ac:dyDescent="0.25">
      <c r="A91" s="5">
        <v>43697</v>
      </c>
      <c r="B91" s="4">
        <v>1110.3000489999999</v>
      </c>
      <c r="C91" s="4">
        <v>283.70001200000002</v>
      </c>
      <c r="D91" s="4">
        <v>416.89999399999999</v>
      </c>
      <c r="E91" s="4">
        <v>1404.849976</v>
      </c>
      <c r="F91" s="4">
        <v>672.34997599999997</v>
      </c>
      <c r="G91" s="3">
        <f>IF('Value at Risk'!$C$5=0,'Market Data - EQ'!B91-'Market Data - EQ'!B92,IF('Value at Risk'!$C$6=0,('Market Data - EQ'!B91-'Market Data - EQ'!B92)/'Market Data - EQ'!B92,LN('Market Data - EQ'!B91/'Market Data - EQ'!B92)))</f>
        <v>6.2260357827810418E-3</v>
      </c>
      <c r="H91" s="3">
        <f>IF('Value at Risk'!$C$5=0,'Market Data - EQ'!C91-'Market Data - EQ'!C92,IF('Value at Risk'!$C$6=0,('Market Data - EQ'!C91-'Market Data - EQ'!C92)/'Market Data - EQ'!C92,LN('Market Data - EQ'!C91/'Market Data - EQ'!C92)))</f>
        <v>-1.0981327990629335E-2</v>
      </c>
      <c r="I91" s="3">
        <f>IF('Value at Risk'!$C$5=0,'Market Data - EQ'!D91-'Market Data - EQ'!D92,IF('Value at Risk'!$C$6=0,('Market Data - EQ'!D91-'Market Data - EQ'!D92)/'Market Data - EQ'!D92,LN('Market Data - EQ'!D91/'Market Data - EQ'!D92)))</f>
        <v>-1.5351913302105526E-2</v>
      </c>
      <c r="J91" s="3">
        <f>IF('Value at Risk'!$C$5=0,'Market Data - EQ'!E91-'Market Data - EQ'!E92,IF('Value at Risk'!$C$6=0,('Market Data - EQ'!E91-'Market Data - EQ'!E92)/'Market Data - EQ'!E92,LN('Market Data - EQ'!E91/'Market Data - EQ'!E92)))</f>
        <v>-2.6100536568457559E-2</v>
      </c>
      <c r="K91" s="3">
        <f>IF('Value at Risk'!$C$5=0,'Market Data - EQ'!F91-'Market Data - EQ'!F92,IF('Value at Risk'!$C$6=0,('Market Data - EQ'!F91-'Market Data - EQ'!F92)/'Market Data - EQ'!F92,LN('Market Data - EQ'!F91/'Market Data - EQ'!F92)))</f>
        <v>-1.8467188321167928E-2</v>
      </c>
      <c r="L91" s="8">
        <f t="shared" si="1"/>
        <v>-1.2934986079915861E-2</v>
      </c>
    </row>
    <row r="92" spans="1:12" x14ac:dyDescent="0.25">
      <c r="A92" s="5">
        <v>43696</v>
      </c>
      <c r="B92" s="4">
        <v>1103.4300539999999</v>
      </c>
      <c r="C92" s="4">
        <v>286.85000600000001</v>
      </c>
      <c r="D92" s="4">
        <v>423.39999399999999</v>
      </c>
      <c r="E92" s="4">
        <v>1442.5</v>
      </c>
      <c r="F92" s="4">
        <v>685</v>
      </c>
      <c r="G92" s="3">
        <f>IF('Value at Risk'!$C$5=0,'Market Data - EQ'!B92-'Market Data - EQ'!B93,IF('Value at Risk'!$C$6=0,('Market Data - EQ'!B92-'Market Data - EQ'!B93)/'Market Data - EQ'!B93,LN('Market Data - EQ'!B92/'Market Data - EQ'!B93)))</f>
        <v>-9.354870246906611E-3</v>
      </c>
      <c r="H92" s="3">
        <f>IF('Value at Risk'!$C$5=0,'Market Data - EQ'!C92-'Market Data - EQ'!C93,IF('Value at Risk'!$C$6=0,('Market Data - EQ'!C92-'Market Data - EQ'!C93)/'Market Data - EQ'!C93,LN('Market Data - EQ'!C92/'Market Data - EQ'!C93)))</f>
        <v>-1.3922269108056376E-2</v>
      </c>
      <c r="I92" s="3">
        <f>IF('Value at Risk'!$C$5=0,'Market Data - EQ'!D92-'Market Data - EQ'!D93,IF('Value at Risk'!$C$6=0,('Market Data - EQ'!D92-'Market Data - EQ'!D93)/'Market Data - EQ'!D93,LN('Market Data - EQ'!D92/'Market Data - EQ'!D93)))</f>
        <v>1.0621749307886348E-2</v>
      </c>
      <c r="J92" s="3">
        <f>IF('Value at Risk'!$C$5=0,'Market Data - EQ'!E92-'Market Data - EQ'!E93,IF('Value at Risk'!$C$6=0,('Market Data - EQ'!E92-'Market Data - EQ'!E93)/'Market Data - EQ'!E93,LN('Market Data - EQ'!E92/'Market Data - EQ'!E93)))</f>
        <v>2.3626044449326223E-3</v>
      </c>
      <c r="K92" s="3">
        <f>IF('Value at Risk'!$C$5=0,'Market Data - EQ'!F92-'Market Data - EQ'!F93,IF('Value at Risk'!$C$6=0,('Market Data - EQ'!F92-'Market Data - EQ'!F93)/'Market Data - EQ'!F93,LN('Market Data - EQ'!F92/'Market Data - EQ'!F93)))</f>
        <v>1.3838489851071136E-2</v>
      </c>
      <c r="L92" s="8">
        <f t="shared" si="1"/>
        <v>7.0914084978542446E-4</v>
      </c>
    </row>
    <row r="93" spans="1:12" x14ac:dyDescent="0.25">
      <c r="A93" s="5">
        <v>43693</v>
      </c>
      <c r="B93" s="4">
        <v>1113.849976</v>
      </c>
      <c r="C93" s="4">
        <v>290.89999399999999</v>
      </c>
      <c r="D93" s="4">
        <v>418.95001200000002</v>
      </c>
      <c r="E93" s="4">
        <v>1439.099976</v>
      </c>
      <c r="F93" s="4">
        <v>675.65002400000003</v>
      </c>
      <c r="G93" s="3">
        <f>IF('Value at Risk'!$C$5=0,'Market Data - EQ'!B93-'Market Data - EQ'!B94,IF('Value at Risk'!$C$6=0,('Market Data - EQ'!B93-'Market Data - EQ'!B94)/'Market Data - EQ'!B94,LN('Market Data - EQ'!B93/'Market Data - EQ'!B94)))</f>
        <v>-7.8046058439193173E-4</v>
      </c>
      <c r="H93" s="3">
        <f>IF('Value at Risk'!$C$5=0,'Market Data - EQ'!C93-'Market Data - EQ'!C94,IF('Value at Risk'!$C$6=0,('Market Data - EQ'!C93-'Market Data - EQ'!C94)/'Market Data - EQ'!C94,LN('Market Data - EQ'!C93/'Market Data - EQ'!C94)))</f>
        <v>3.9689180327868593E-3</v>
      </c>
      <c r="I93" s="3">
        <f>IF('Value at Risk'!$C$5=0,'Market Data - EQ'!D93-'Market Data - EQ'!D94,IF('Value at Risk'!$C$6=0,('Market Data - EQ'!D93-'Market Data - EQ'!D94)/'Market Data - EQ'!D94,LN('Market Data - EQ'!D93/'Market Data - EQ'!D94)))</f>
        <v>3.9540475615830366E-3</v>
      </c>
      <c r="J93" s="3">
        <f>IF('Value at Risk'!$C$5=0,'Market Data - EQ'!E93-'Market Data - EQ'!E94,IF('Value at Risk'!$C$6=0,('Market Data - EQ'!E93-'Market Data - EQ'!E94)/'Market Data - EQ'!E94,LN('Market Data - EQ'!E93/'Market Data - EQ'!E94)))</f>
        <v>2.7304851094204538E-2</v>
      </c>
      <c r="K93" s="3">
        <f>IF('Value at Risk'!$C$5=0,'Market Data - EQ'!F93-'Market Data - EQ'!F94,IF('Value at Risk'!$C$6=0,('Market Data - EQ'!F93-'Market Data - EQ'!F94)/'Market Data - EQ'!F94,LN('Market Data - EQ'!F93/'Market Data - EQ'!F94)))</f>
        <v>1.8772635365995764E-2</v>
      </c>
      <c r="L93" s="8">
        <f t="shared" si="1"/>
        <v>1.0643998294035653E-2</v>
      </c>
    </row>
    <row r="94" spans="1:12" x14ac:dyDescent="0.25">
      <c r="A94" s="5">
        <v>43691</v>
      </c>
      <c r="B94" s="4">
        <v>1114.719971</v>
      </c>
      <c r="C94" s="4">
        <v>289.75</v>
      </c>
      <c r="D94" s="4">
        <v>417.29998799999998</v>
      </c>
      <c r="E94" s="4">
        <v>1400.849976</v>
      </c>
      <c r="F94" s="4">
        <v>663.20001200000002</v>
      </c>
      <c r="G94" s="3">
        <f>IF('Value at Risk'!$C$5=0,'Market Data - EQ'!B94-'Market Data - EQ'!B95,IF('Value at Risk'!$C$6=0,('Market Data - EQ'!B94-'Market Data - EQ'!B95)/'Market Data - EQ'!B95,LN('Market Data - EQ'!B94/'Market Data - EQ'!B95)))</f>
        <v>4.0893519782152924E-3</v>
      </c>
      <c r="H94" s="3">
        <f>IF('Value at Risk'!$C$5=0,'Market Data - EQ'!C94-'Market Data - EQ'!C95,IF('Value at Risk'!$C$6=0,('Market Data - EQ'!C94-'Market Data - EQ'!C95)/'Market Data - EQ'!C95,LN('Market Data - EQ'!C94/'Market Data - EQ'!C95)))</f>
        <v>2.2586884999042465E-2</v>
      </c>
      <c r="I94" s="3">
        <f>IF('Value at Risk'!$C$5=0,'Market Data - EQ'!D94-'Market Data - EQ'!D95,IF('Value at Risk'!$C$6=0,('Market Data - EQ'!D94-'Market Data - EQ'!D95)/'Market Data - EQ'!D95,LN('Market Data - EQ'!D94/'Market Data - EQ'!D95)))</f>
        <v>1.7184614259597768E-2</v>
      </c>
      <c r="J94" s="3">
        <f>IF('Value at Risk'!$C$5=0,'Market Data - EQ'!E94-'Market Data - EQ'!E95,IF('Value at Risk'!$C$6=0,('Market Data - EQ'!E94-'Market Data - EQ'!E95)/'Market Data - EQ'!E95,LN('Market Data - EQ'!E94/'Market Data - EQ'!E95)))</f>
        <v>1.9949780463460014E-2</v>
      </c>
      <c r="K94" s="3">
        <f>IF('Value at Risk'!$C$5=0,'Market Data - EQ'!F94-'Market Data - EQ'!F95,IF('Value at Risk'!$C$6=0,('Market Data - EQ'!F94-'Market Data - EQ'!F95)/'Market Data - EQ'!F95,LN('Market Data - EQ'!F94/'Market Data - EQ'!F95)))</f>
        <v>2.1171760329415468E-2</v>
      </c>
      <c r="L94" s="8">
        <f t="shared" si="1"/>
        <v>1.6996478405946199E-2</v>
      </c>
    </row>
    <row r="95" spans="1:12" x14ac:dyDescent="0.25">
      <c r="A95" s="5">
        <v>43690</v>
      </c>
      <c r="B95" s="4">
        <v>1110.1800539999999</v>
      </c>
      <c r="C95" s="4">
        <v>283.35000600000001</v>
      </c>
      <c r="D95" s="4">
        <v>410.25</v>
      </c>
      <c r="E95" s="4">
        <v>1373.4499510000001</v>
      </c>
      <c r="F95" s="4">
        <v>649.45001200000002</v>
      </c>
      <c r="G95" s="3">
        <f>IF('Value at Risk'!$C$5=0,'Market Data - EQ'!B95-'Market Data - EQ'!B96,IF('Value at Risk'!$C$6=0,('Market Data - EQ'!B95-'Market Data - EQ'!B96)/'Market Data - EQ'!B96,LN('Market Data - EQ'!B95/'Market Data - EQ'!B96)))</f>
        <v>-2.7011346187554842E-2</v>
      </c>
      <c r="H95" s="3">
        <f>IF('Value at Risk'!$C$5=0,'Market Data - EQ'!C95-'Market Data - EQ'!C96,IF('Value at Risk'!$C$6=0,('Market Data - EQ'!C95-'Market Data - EQ'!C96)/'Market Data - EQ'!C96,LN('Market Data - EQ'!C95/'Market Data - EQ'!C96)))</f>
        <v>-2.7458382822205949E-2</v>
      </c>
      <c r="I95" s="3">
        <f>IF('Value at Risk'!$C$5=0,'Market Data - EQ'!D95-'Market Data - EQ'!D96,IF('Value at Risk'!$C$6=0,('Market Data - EQ'!D95-'Market Data - EQ'!D96)/'Market Data - EQ'!D96,LN('Market Data - EQ'!D95/'Market Data - EQ'!D96)))</f>
        <v>-2.3562999265448026E-2</v>
      </c>
      <c r="J95" s="3">
        <f>IF('Value at Risk'!$C$5=0,'Market Data - EQ'!E95-'Market Data - EQ'!E96,IF('Value at Risk'!$C$6=0,('Market Data - EQ'!E95-'Market Data - EQ'!E96)/'Market Data - EQ'!E96,LN('Market Data - EQ'!E95/'Market Data - EQ'!E96)))</f>
        <v>-2.8265227339489541E-2</v>
      </c>
      <c r="K95" s="3">
        <f>IF('Value at Risk'!$C$5=0,'Market Data - EQ'!F95-'Market Data - EQ'!F96,IF('Value at Risk'!$C$6=0,('Market Data - EQ'!F95-'Market Data - EQ'!F96)/'Market Data - EQ'!F96,LN('Market Data - EQ'!F95/'Market Data - EQ'!F96)))</f>
        <v>-1.7176114113367644E-2</v>
      </c>
      <c r="L95" s="8">
        <f t="shared" si="1"/>
        <v>-2.4694813945613202E-2</v>
      </c>
    </row>
    <row r="96" spans="1:12" x14ac:dyDescent="0.25">
      <c r="A96" s="5">
        <v>43686</v>
      </c>
      <c r="B96" s="4">
        <v>1141</v>
      </c>
      <c r="C96" s="4">
        <v>291.35000600000001</v>
      </c>
      <c r="D96" s="4">
        <v>420.14999399999999</v>
      </c>
      <c r="E96" s="4">
        <v>1413.400024</v>
      </c>
      <c r="F96" s="4">
        <v>660.79998799999998</v>
      </c>
      <c r="G96" s="3">
        <f>IF('Value at Risk'!$C$5=0,'Market Data - EQ'!B96-'Market Data - EQ'!B97,IF('Value at Risk'!$C$6=0,('Market Data - EQ'!B96-'Market Data - EQ'!B97)/'Market Data - EQ'!B97,LN('Market Data - EQ'!B96/'Market Data - EQ'!B97)))</f>
        <v>2.1879555407628648E-2</v>
      </c>
      <c r="H96" s="3">
        <f>IF('Value at Risk'!$C$5=0,'Market Data - EQ'!C96-'Market Data - EQ'!C97,IF('Value at Risk'!$C$6=0,('Market Data - EQ'!C96-'Market Data - EQ'!C97)/'Market Data - EQ'!C97,LN('Market Data - EQ'!C96/'Market Data - EQ'!C97)))</f>
        <v>-1.0191948153043353E-2</v>
      </c>
      <c r="I96" s="3">
        <f>IF('Value at Risk'!$C$5=0,'Market Data - EQ'!D96-'Market Data - EQ'!D97,IF('Value at Risk'!$C$6=0,('Market Data - EQ'!D96-'Market Data - EQ'!D97)/'Market Data - EQ'!D97,LN('Market Data - EQ'!D96/'Market Data - EQ'!D97)))</f>
        <v>1.3875482826382474E-2</v>
      </c>
      <c r="J96" s="3">
        <f>IF('Value at Risk'!$C$5=0,'Market Data - EQ'!E96-'Market Data - EQ'!E97,IF('Value at Risk'!$C$6=0,('Market Data - EQ'!E96-'Market Data - EQ'!E97)/'Market Data - EQ'!E97,LN('Market Data - EQ'!E96/'Market Data - EQ'!E97)))</f>
        <v>-4.5969023547618023E-4</v>
      </c>
      <c r="K96" s="3">
        <f>IF('Value at Risk'!$C$5=0,'Market Data - EQ'!F96-'Market Data - EQ'!F97,IF('Value at Risk'!$C$6=0,('Market Data - EQ'!F96-'Market Data - EQ'!F97)/'Market Data - EQ'!F97,LN('Market Data - EQ'!F96/'Market Data - EQ'!F97)))</f>
        <v>1.0604636046828385E-3</v>
      </c>
      <c r="L96" s="8">
        <f t="shared" si="1"/>
        <v>5.2327726900348861E-3</v>
      </c>
    </row>
    <row r="97" spans="1:12" x14ac:dyDescent="0.25">
      <c r="A97" s="5">
        <v>43685</v>
      </c>
      <c r="B97" s="4">
        <v>1116.5699460000001</v>
      </c>
      <c r="C97" s="4">
        <v>294.35000600000001</v>
      </c>
      <c r="D97" s="4">
        <v>414.39999399999999</v>
      </c>
      <c r="E97" s="4">
        <v>1414.0500489999999</v>
      </c>
      <c r="F97" s="4">
        <v>660.09997599999997</v>
      </c>
      <c r="G97" s="3">
        <f>IF('Value at Risk'!$C$5=0,'Market Data - EQ'!B97-'Market Data - EQ'!B98,IF('Value at Risk'!$C$6=0,('Market Data - EQ'!B97-'Market Data - EQ'!B98)/'Market Data - EQ'!B98,LN('Market Data - EQ'!B97/'Market Data - EQ'!B98)))</f>
        <v>2.2499950549450615E-2</v>
      </c>
      <c r="H97" s="3">
        <f>IF('Value at Risk'!$C$5=0,'Market Data - EQ'!C97-'Market Data - EQ'!C98,IF('Value at Risk'!$C$6=0,('Market Data - EQ'!C97-'Market Data - EQ'!C98)/'Market Data - EQ'!C98,LN('Market Data - EQ'!C97/'Market Data - EQ'!C98)))</f>
        <v>1.5350162442569816E-2</v>
      </c>
      <c r="I97" s="3">
        <f>IF('Value at Risk'!$C$5=0,'Market Data - EQ'!D97-'Market Data - EQ'!D98,IF('Value at Risk'!$C$6=0,('Market Data - EQ'!D97-'Market Data - EQ'!D98)/'Market Data - EQ'!D98,LN('Market Data - EQ'!D97/'Market Data - EQ'!D98)))</f>
        <v>1.4691479158053073E-2</v>
      </c>
      <c r="J97" s="3">
        <f>IF('Value at Risk'!$C$5=0,'Market Data - EQ'!E97-'Market Data - EQ'!E98,IF('Value at Risk'!$C$6=0,('Market Data - EQ'!E97-'Market Data - EQ'!E98)/'Market Data - EQ'!E98,LN('Market Data - EQ'!E97/'Market Data - EQ'!E98)))</f>
        <v>-8.6233583671333301E-3</v>
      </c>
      <c r="K97" s="3">
        <f>IF('Value at Risk'!$C$5=0,'Market Data - EQ'!F97-'Market Data - EQ'!F98,IF('Value at Risk'!$C$6=0,('Market Data - EQ'!F97-'Market Data - EQ'!F98)/'Market Data - EQ'!F98,LN('Market Data - EQ'!F97/'Market Data - EQ'!F98)))</f>
        <v>2.2723539248902151E-4</v>
      </c>
      <c r="L97" s="8">
        <f t="shared" si="1"/>
        <v>8.8290938350858387E-3</v>
      </c>
    </row>
    <row r="98" spans="1:12" x14ac:dyDescent="0.25">
      <c r="A98" s="5">
        <v>43684</v>
      </c>
      <c r="B98" s="4">
        <v>1092</v>
      </c>
      <c r="C98" s="4">
        <v>289.89999399999999</v>
      </c>
      <c r="D98" s="4">
        <v>408.39999399999999</v>
      </c>
      <c r="E98" s="4">
        <v>1426.349976</v>
      </c>
      <c r="F98" s="4">
        <v>659.95001200000002</v>
      </c>
      <c r="G98" s="3">
        <f>IF('Value at Risk'!$C$5=0,'Market Data - EQ'!B98-'Market Data - EQ'!B99,IF('Value at Risk'!$C$6=0,('Market Data - EQ'!B98-'Market Data - EQ'!B99)/'Market Data - EQ'!B99,LN('Market Data - EQ'!B98/'Market Data - EQ'!B99)))</f>
        <v>-2.3297692072918124E-3</v>
      </c>
      <c r="H98" s="3">
        <f>IF('Value at Risk'!$C$5=0,'Market Data - EQ'!C98-'Market Data - EQ'!C99,IF('Value at Risk'!$C$6=0,('Market Data - EQ'!C98-'Market Data - EQ'!C99)/'Market Data - EQ'!C99,LN('Market Data - EQ'!C98/'Market Data - EQ'!C99)))</f>
        <v>-3.8155276141113657E-2</v>
      </c>
      <c r="I98" s="3">
        <f>IF('Value at Risk'!$C$5=0,'Market Data - EQ'!D98-'Market Data - EQ'!D99,IF('Value at Risk'!$C$6=0,('Market Data - EQ'!D98-'Market Data - EQ'!D99)/'Market Data - EQ'!D99,LN('Market Data - EQ'!D98/'Market Data - EQ'!D99)))</f>
        <v>-4.5094600853138513E-3</v>
      </c>
      <c r="J98" s="3">
        <f>IF('Value at Risk'!$C$5=0,'Market Data - EQ'!E98-'Market Data - EQ'!E99,IF('Value at Risk'!$C$6=0,('Market Data - EQ'!E98-'Market Data - EQ'!E99)/'Market Data - EQ'!E99,LN('Market Data - EQ'!E98/'Market Data - EQ'!E99)))</f>
        <v>6.5274152541514125E-3</v>
      </c>
      <c r="K98" s="3">
        <f>IF('Value at Risk'!$C$5=0,'Market Data - EQ'!F98-'Market Data - EQ'!F99,IF('Value at Risk'!$C$6=0,('Market Data - EQ'!F98-'Market Data - EQ'!F99)/'Market Data - EQ'!F99,LN('Market Data - EQ'!F98/'Market Data - EQ'!F99)))</f>
        <v>-2.8055946980854174E-2</v>
      </c>
      <c r="L98" s="8">
        <f t="shared" si="1"/>
        <v>-1.3304607432084416E-2</v>
      </c>
    </row>
    <row r="99" spans="1:12" x14ac:dyDescent="0.25">
      <c r="A99" s="5">
        <v>43683</v>
      </c>
      <c r="B99" s="4">
        <v>1094.5500489999999</v>
      </c>
      <c r="C99" s="4">
        <v>301.39999399999999</v>
      </c>
      <c r="D99" s="4">
        <v>410.25</v>
      </c>
      <c r="E99" s="4">
        <v>1417.099976</v>
      </c>
      <c r="F99" s="4">
        <v>679</v>
      </c>
      <c r="G99" s="3">
        <f>IF('Value at Risk'!$C$5=0,'Market Data - EQ'!B99-'Market Data - EQ'!B100,IF('Value at Risk'!$C$6=0,('Market Data - EQ'!B99-'Market Data - EQ'!B100)/'Market Data - EQ'!B100,LN('Market Data - EQ'!B99/'Market Data - EQ'!B100)))</f>
        <v>4.5245627123425974E-3</v>
      </c>
      <c r="H99" s="3">
        <f>IF('Value at Risk'!$C$5=0,'Market Data - EQ'!C99-'Market Data - EQ'!C100,IF('Value at Risk'!$C$6=0,('Market Data - EQ'!C99-'Market Data - EQ'!C100)/'Market Data - EQ'!C100,LN('Market Data - EQ'!C99/'Market Data - EQ'!C100)))</f>
        <v>3.830121565362173E-3</v>
      </c>
      <c r="I99" s="3">
        <f>IF('Value at Risk'!$C$5=0,'Market Data - EQ'!D99-'Market Data - EQ'!D100,IF('Value at Risk'!$C$6=0,('Market Data - EQ'!D99-'Market Data - EQ'!D100)/'Market Data - EQ'!D100,LN('Market Data - EQ'!D99/'Market Data - EQ'!D100)))</f>
        <v>1.887496861604326E-2</v>
      </c>
      <c r="J99" s="3">
        <f>IF('Value at Risk'!$C$5=0,'Market Data - EQ'!E99-'Market Data - EQ'!E100,IF('Value at Risk'!$C$6=0,('Market Data - EQ'!E99-'Market Data - EQ'!E100)/'Market Data - EQ'!E100,LN('Market Data - EQ'!E99/'Market Data - EQ'!E100)))</f>
        <v>2.0818344633409307E-2</v>
      </c>
      <c r="K99" s="3">
        <f>IF('Value at Risk'!$C$5=0,'Market Data - EQ'!F99-'Market Data - EQ'!F100,IF('Value at Risk'!$C$6=0,('Market Data - EQ'!F99-'Market Data - EQ'!F100)/'Market Data - EQ'!F100,LN('Market Data - EQ'!F99/'Market Data - EQ'!F100)))</f>
        <v>2.4982999019101813E-2</v>
      </c>
      <c r="L99" s="8">
        <f t="shared" si="1"/>
        <v>1.4606199309251829E-2</v>
      </c>
    </row>
    <row r="100" spans="1:12" x14ac:dyDescent="0.25">
      <c r="A100" s="5">
        <v>43682</v>
      </c>
      <c r="B100" s="4">
        <v>1089.619995</v>
      </c>
      <c r="C100" s="4">
        <v>300.25</v>
      </c>
      <c r="D100" s="4">
        <v>402.64999399999999</v>
      </c>
      <c r="E100" s="4">
        <v>1388.1999510000001</v>
      </c>
      <c r="F100" s="4">
        <v>662.45001200000002</v>
      </c>
      <c r="G100" s="3">
        <f>IF('Value at Risk'!$C$5=0,'Market Data - EQ'!B100-'Market Data - EQ'!B101,IF('Value at Risk'!$C$6=0,('Market Data - EQ'!B100-'Market Data - EQ'!B101)/'Market Data - EQ'!B101,LN('Market Data - EQ'!B100/'Market Data - EQ'!B101)))</f>
        <v>-1.5860165595071234E-2</v>
      </c>
      <c r="H100" s="3">
        <f>IF('Value at Risk'!$C$5=0,'Market Data - EQ'!C100-'Market Data - EQ'!C101,IF('Value at Risk'!$C$6=0,('Market Data - EQ'!C100-'Market Data - EQ'!C101)/'Market Data - EQ'!C101,LN('Market Data - EQ'!C100/'Market Data - EQ'!C101)))</f>
        <v>-2.6584573451078404E-2</v>
      </c>
      <c r="I100" s="3">
        <f>IF('Value at Risk'!$C$5=0,'Market Data - EQ'!D100-'Market Data - EQ'!D101,IF('Value at Risk'!$C$6=0,('Market Data - EQ'!D100-'Market Data - EQ'!D101)/'Market Data - EQ'!D101,LN('Market Data - EQ'!D100/'Market Data - EQ'!D101)))</f>
        <v>-1.9361938343469033E-2</v>
      </c>
      <c r="J100" s="3">
        <f>IF('Value at Risk'!$C$5=0,'Market Data - EQ'!E100-'Market Data - EQ'!E101,IF('Value at Risk'!$C$6=0,('Market Data - EQ'!E100-'Market Data - EQ'!E101)/'Market Data - EQ'!E101,LN('Market Data - EQ'!E100/'Market Data - EQ'!E101)))</f>
        <v>3.832472997339412E-3</v>
      </c>
      <c r="K100" s="3">
        <f>IF('Value at Risk'!$C$5=0,'Market Data - EQ'!F100-'Market Data - EQ'!F101,IF('Value at Risk'!$C$6=0,('Market Data - EQ'!F100-'Market Data - EQ'!F101)/'Market Data - EQ'!F101,LN('Market Data - EQ'!F100/'Market Data - EQ'!F101)))</f>
        <v>-1.6917658835087581E-2</v>
      </c>
      <c r="L100" s="8">
        <f t="shared" si="1"/>
        <v>-1.4978372645473368E-2</v>
      </c>
    </row>
    <row r="101" spans="1:12" x14ac:dyDescent="0.25">
      <c r="A101" s="5">
        <v>43679</v>
      </c>
      <c r="B101" s="4">
        <v>1107.1800539999999</v>
      </c>
      <c r="C101" s="4">
        <v>308.45001200000002</v>
      </c>
      <c r="D101" s="4">
        <v>410.60000600000001</v>
      </c>
      <c r="E101" s="4">
        <v>1382.900024</v>
      </c>
      <c r="F101" s="4">
        <v>673.84997599999997</v>
      </c>
      <c r="G101" s="3">
        <f>IF('Value at Risk'!$C$5=0,'Market Data - EQ'!B101-'Market Data - EQ'!B102,IF('Value at Risk'!$C$6=0,('Market Data - EQ'!B101-'Market Data - EQ'!B102)/'Market Data - EQ'!B102,LN('Market Data - EQ'!B101/'Market Data - EQ'!B102)))</f>
        <v>-3.3486091634111828E-3</v>
      </c>
      <c r="H101" s="3">
        <f>IF('Value at Risk'!$C$5=0,'Market Data - EQ'!C101-'Market Data - EQ'!C102,IF('Value at Risk'!$C$6=0,('Market Data - EQ'!C101-'Market Data - EQ'!C102)/'Market Data - EQ'!C102,LN('Market Data - EQ'!C101/'Market Data - EQ'!C102)))</f>
        <v>-2.7431758362259272E-2</v>
      </c>
      <c r="I101" s="3">
        <f>IF('Value at Risk'!$C$5=0,'Market Data - EQ'!D101-'Market Data - EQ'!D102,IF('Value at Risk'!$C$6=0,('Market Data - EQ'!D101-'Market Data - EQ'!D102)/'Market Data - EQ'!D102,LN('Market Data - EQ'!D101/'Market Data - EQ'!D102)))</f>
        <v>-1.546572877493999E-2</v>
      </c>
      <c r="J101" s="3">
        <f>IF('Value at Risk'!$C$5=0,'Market Data - EQ'!E101-'Market Data - EQ'!E102,IF('Value at Risk'!$C$6=0,('Market Data - EQ'!E101-'Market Data - EQ'!E102)/'Market Data - EQ'!E102,LN('Market Data - EQ'!E101/'Market Data - EQ'!E102)))</f>
        <v>-1.1260858491931073E-2</v>
      </c>
      <c r="K101" s="3">
        <f>IF('Value at Risk'!$C$5=0,'Market Data - EQ'!F101-'Market Data - EQ'!F102,IF('Value at Risk'!$C$6=0,('Market Data - EQ'!F101-'Market Data - EQ'!F102)/'Market Data - EQ'!F102,LN('Market Data - EQ'!F101/'Market Data - EQ'!F102)))</f>
        <v>6.7981295107986542E-3</v>
      </c>
      <c r="L101" s="8">
        <f t="shared" si="1"/>
        <v>-1.0141765056348572E-2</v>
      </c>
    </row>
    <row r="102" spans="1:12" x14ac:dyDescent="0.25">
      <c r="A102" s="5">
        <v>43678</v>
      </c>
      <c r="B102" s="4">
        <v>1110.900024</v>
      </c>
      <c r="C102" s="4">
        <v>317.14999399999999</v>
      </c>
      <c r="D102" s="4">
        <v>417.04998799999998</v>
      </c>
      <c r="E102" s="4">
        <v>1398.650024</v>
      </c>
      <c r="F102" s="4">
        <v>669.29998799999998</v>
      </c>
      <c r="G102" s="3">
        <f>IF('Value at Risk'!$C$5=0,'Market Data - EQ'!B102-'Market Data - EQ'!B103,IF('Value at Risk'!$C$6=0,('Market Data - EQ'!B102-'Market Data - EQ'!B103)/'Market Data - EQ'!B103,LN('Market Data - EQ'!B102/'Market Data - EQ'!B103)))</f>
        <v>-1.3252493929433402E-2</v>
      </c>
      <c r="H102" s="3">
        <f>IF('Value at Risk'!$C$5=0,'Market Data - EQ'!C102-'Market Data - EQ'!C103,IF('Value at Risk'!$C$6=0,('Market Data - EQ'!C102-'Market Data - EQ'!C103)/'Market Data - EQ'!C103,LN('Market Data - EQ'!C102/'Market Data - EQ'!C103)))</f>
        <v>-4.5304086262344931E-2</v>
      </c>
      <c r="I102" s="3">
        <f>IF('Value at Risk'!$C$5=0,'Market Data - EQ'!D102-'Market Data - EQ'!D103,IF('Value at Risk'!$C$6=0,('Market Data - EQ'!D102-'Market Data - EQ'!D103)/'Market Data - EQ'!D103,LN('Market Data - EQ'!D102/'Market Data - EQ'!D103)))</f>
        <v>-1.7781483498142066E-2</v>
      </c>
      <c r="J102" s="3">
        <f>IF('Value at Risk'!$C$5=0,'Market Data - EQ'!E102-'Market Data - EQ'!E103,IF('Value at Risk'!$C$6=0,('Market Data - EQ'!E102-'Market Data - EQ'!E103)/'Market Data - EQ'!E103,LN('Market Data - EQ'!E102/'Market Data - EQ'!E103)))</f>
        <v>-1.0050573126102342E-2</v>
      </c>
      <c r="K102" s="3">
        <f>IF('Value at Risk'!$C$5=0,'Market Data - EQ'!F102-'Market Data - EQ'!F103,IF('Value at Risk'!$C$6=0,('Market Data - EQ'!F102-'Market Data - EQ'!F103)/'Market Data - EQ'!F103,LN('Market Data - EQ'!F102/'Market Data - EQ'!F103)))</f>
        <v>-7.1205877034476927E-3</v>
      </c>
      <c r="L102" s="8">
        <f t="shared" si="1"/>
        <v>-1.8701844903894087E-2</v>
      </c>
    </row>
    <row r="103" spans="1:12" x14ac:dyDescent="0.25">
      <c r="A103" s="5">
        <v>43677</v>
      </c>
      <c r="B103" s="4">
        <v>1125.8199460000001</v>
      </c>
      <c r="C103" s="4">
        <v>332.20001200000002</v>
      </c>
      <c r="D103" s="4">
        <v>424.60000600000001</v>
      </c>
      <c r="E103" s="4">
        <v>1412.849976</v>
      </c>
      <c r="F103" s="4">
        <v>674.09997599999997</v>
      </c>
      <c r="G103" s="3">
        <f>IF('Value at Risk'!$C$5=0,'Market Data - EQ'!B103-'Market Data - EQ'!B104,IF('Value at Risk'!$C$6=0,('Market Data - EQ'!B103-'Market Data - EQ'!B104)/'Market Data - EQ'!B104,LN('Market Data - EQ'!B103/'Market Data - EQ'!B104)))</f>
        <v>-2.6644496264356313E-4</v>
      </c>
      <c r="H103" s="3">
        <f>IF('Value at Risk'!$C$5=0,'Market Data - EQ'!C103-'Market Data - EQ'!C104,IF('Value at Risk'!$C$6=0,('Market Data - EQ'!C103-'Market Data - EQ'!C104)/'Market Data - EQ'!C104,LN('Market Data - EQ'!C103/'Market Data - EQ'!C104)))</f>
        <v>1.4196379698844717E-2</v>
      </c>
      <c r="I103" s="3">
        <f>IF('Value at Risk'!$C$5=0,'Market Data - EQ'!D103-'Market Data - EQ'!D104,IF('Value at Risk'!$C$6=0,('Market Data - EQ'!D103-'Market Data - EQ'!D104)/'Market Data - EQ'!D104,LN('Market Data - EQ'!D103/'Market Data - EQ'!D104)))</f>
        <v>-1.7632537661231395E-3</v>
      </c>
      <c r="J103" s="3">
        <f>IF('Value at Risk'!$C$5=0,'Market Data - EQ'!E103-'Market Data - EQ'!E104,IF('Value at Risk'!$C$6=0,('Market Data - EQ'!E103-'Market Data - EQ'!E104)/'Market Data - EQ'!E104,LN('Market Data - EQ'!E103/'Market Data - EQ'!E104)))</f>
        <v>5.6494372415894549E-2</v>
      </c>
      <c r="K103" s="3">
        <f>IF('Value at Risk'!$C$5=0,'Market Data - EQ'!F103-'Market Data - EQ'!F104,IF('Value at Risk'!$C$6=0,('Market Data - EQ'!F103-'Market Data - EQ'!F104)/'Market Data - EQ'!F104,LN('Market Data - EQ'!F103/'Market Data - EQ'!F104)))</f>
        <v>-4.7343133318591295E-2</v>
      </c>
      <c r="L103" s="8">
        <f t="shared" si="1"/>
        <v>4.263584013476253E-3</v>
      </c>
    </row>
    <row r="104" spans="1:12" x14ac:dyDescent="0.25">
      <c r="A104" s="5">
        <v>43676</v>
      </c>
      <c r="B104" s="4">
        <v>1126.119995</v>
      </c>
      <c r="C104" s="4">
        <v>327.54998799999998</v>
      </c>
      <c r="D104" s="4">
        <v>425.35000600000001</v>
      </c>
      <c r="E104" s="4">
        <v>1337.3000489999999</v>
      </c>
      <c r="F104" s="4">
        <v>707.59997599999997</v>
      </c>
      <c r="G104" s="3">
        <f>IF('Value at Risk'!$C$5=0,'Market Data - EQ'!B104-'Market Data - EQ'!B105,IF('Value at Risk'!$C$6=0,('Market Data - EQ'!B104-'Market Data - EQ'!B105)/'Market Data - EQ'!B105,LN('Market Data - EQ'!B104/'Market Data - EQ'!B105)))</f>
        <v>3.5378255269724848E-3</v>
      </c>
      <c r="H104" s="3">
        <f>IF('Value at Risk'!$C$5=0,'Market Data - EQ'!C104-'Market Data - EQ'!C105,IF('Value at Risk'!$C$6=0,('Market Data - EQ'!C104-'Market Data - EQ'!C105)/'Market Data - EQ'!C105,LN('Market Data - EQ'!C104/'Market Data - EQ'!C105)))</f>
        <v>-4.7265853889442253E-2</v>
      </c>
      <c r="I104" s="3">
        <f>IF('Value at Risk'!$C$5=0,'Market Data - EQ'!D104-'Market Data - EQ'!D105,IF('Value at Risk'!$C$6=0,('Market Data - EQ'!D104-'Market Data - EQ'!D105)/'Market Data - EQ'!D105,LN('Market Data - EQ'!D104/'Market Data - EQ'!D105)))</f>
        <v>-9.3164083943206005E-3</v>
      </c>
      <c r="J104" s="3">
        <f>IF('Value at Risk'!$C$5=0,'Market Data - EQ'!E104-'Market Data - EQ'!E105,IF('Value at Risk'!$C$6=0,('Market Data - EQ'!E104-'Market Data - EQ'!E105)/'Market Data - EQ'!E105,LN('Market Data - EQ'!E104/'Market Data - EQ'!E105)))</f>
        <v>-6.6326884556295929E-2</v>
      </c>
      <c r="K104" s="3">
        <f>IF('Value at Risk'!$C$5=0,'Market Data - EQ'!F104-'Market Data - EQ'!F105,IF('Value at Risk'!$C$6=0,('Market Data - EQ'!F104-'Market Data - EQ'!F105)/'Market Data - EQ'!F105,LN('Market Data - EQ'!F104/'Market Data - EQ'!F105)))</f>
        <v>-1.7563379382159013E-2</v>
      </c>
      <c r="L104" s="8">
        <f t="shared" si="1"/>
        <v>-2.7386940139049059E-2</v>
      </c>
    </row>
    <row r="105" spans="1:12" x14ac:dyDescent="0.25">
      <c r="A105" s="5">
        <v>43675</v>
      </c>
      <c r="B105" s="4">
        <v>1122.150024</v>
      </c>
      <c r="C105" s="4">
        <v>343.79998799999998</v>
      </c>
      <c r="D105" s="4">
        <v>429.35000600000001</v>
      </c>
      <c r="E105" s="4">
        <v>1432.3000489999999</v>
      </c>
      <c r="F105" s="4">
        <v>720.25</v>
      </c>
      <c r="G105" s="3">
        <f>IF('Value at Risk'!$C$5=0,'Market Data - EQ'!B105-'Market Data - EQ'!B106,IF('Value at Risk'!$C$6=0,('Market Data - EQ'!B105-'Market Data - EQ'!B106)/'Market Data - EQ'!B106,LN('Market Data - EQ'!B105/'Market Data - EQ'!B106)))</f>
        <v>-1.4490844115592798E-2</v>
      </c>
      <c r="H105" s="3">
        <f>IF('Value at Risk'!$C$5=0,'Market Data - EQ'!C105-'Market Data - EQ'!C106,IF('Value at Risk'!$C$6=0,('Market Data - EQ'!C105-'Market Data - EQ'!C106)/'Market Data - EQ'!C106,LN('Market Data - EQ'!C105/'Market Data - EQ'!C106)))</f>
        <v>3.5025743694819937E-3</v>
      </c>
      <c r="I105" s="3">
        <f>IF('Value at Risk'!$C$5=0,'Market Data - EQ'!D105-'Market Data - EQ'!D106,IF('Value at Risk'!$C$6=0,('Market Data - EQ'!D105-'Market Data - EQ'!D106)/'Market Data - EQ'!D106,LN('Market Data - EQ'!D105/'Market Data - EQ'!D106)))</f>
        <v>3.2711980757666882E-2</v>
      </c>
      <c r="J105" s="3">
        <f>IF('Value at Risk'!$C$5=0,'Market Data - EQ'!E105-'Market Data - EQ'!E106,IF('Value at Risk'!$C$6=0,('Market Data - EQ'!E105-'Market Data - EQ'!E106)/'Market Data - EQ'!E106,LN('Market Data - EQ'!E105/'Market Data - EQ'!E106)))</f>
        <v>1.1868632285411476E-2</v>
      </c>
      <c r="K105" s="3">
        <f>IF('Value at Risk'!$C$5=0,'Market Data - EQ'!F105-'Market Data - EQ'!F106,IF('Value at Risk'!$C$6=0,('Market Data - EQ'!F105-'Market Data - EQ'!F106)/'Market Data - EQ'!F106,LN('Market Data - EQ'!F105/'Market Data - EQ'!F106)))</f>
        <v>-1.3153355231459198E-2</v>
      </c>
      <c r="L105" s="8">
        <f t="shared" si="1"/>
        <v>4.0877976131016708E-3</v>
      </c>
    </row>
    <row r="106" spans="1:12" x14ac:dyDescent="0.25">
      <c r="A106" s="5">
        <v>43672</v>
      </c>
      <c r="B106" s="4">
        <v>1138.650024</v>
      </c>
      <c r="C106" s="4">
        <v>342.60000600000001</v>
      </c>
      <c r="D106" s="4">
        <v>415.75</v>
      </c>
      <c r="E106" s="4">
        <v>1415.5</v>
      </c>
      <c r="F106" s="4">
        <v>729.84997599999997</v>
      </c>
      <c r="G106" s="3">
        <f>IF('Value at Risk'!$C$5=0,'Market Data - EQ'!B106-'Market Data - EQ'!B107,IF('Value at Risk'!$C$6=0,('Market Data - EQ'!B106-'Market Data - EQ'!B107)/'Market Data - EQ'!B107,LN('Market Data - EQ'!B106/'Market Data - EQ'!B107)))</f>
        <v>-3.8319246991541486E-3</v>
      </c>
      <c r="H106" s="3">
        <f>IF('Value at Risk'!$C$5=0,'Market Data - EQ'!C106-'Market Data - EQ'!C107,IF('Value at Risk'!$C$6=0,('Market Data - EQ'!C106-'Market Data - EQ'!C107)/'Market Data - EQ'!C107,LN('Market Data - EQ'!C106/'Market Data - EQ'!C107)))</f>
        <v>3.8090185927578258E-3</v>
      </c>
      <c r="I106" s="3">
        <f>IF('Value at Risk'!$C$5=0,'Market Data - EQ'!D106-'Market Data - EQ'!D107,IF('Value at Risk'!$C$6=0,('Market Data - EQ'!D106-'Market Data - EQ'!D107)/'Market Data - EQ'!D107,LN('Market Data - EQ'!D106/'Market Data - EQ'!D107)))</f>
        <v>1.6503667481662591E-2</v>
      </c>
      <c r="J106" s="3">
        <f>IF('Value at Risk'!$C$5=0,'Market Data - EQ'!E106-'Market Data - EQ'!E107,IF('Value at Risk'!$C$6=0,('Market Data - EQ'!E106-'Market Data - EQ'!E107)/'Market Data - EQ'!E107,LN('Market Data - EQ'!E106/'Market Data - EQ'!E107)))</f>
        <v>1.7137912254295316E-2</v>
      </c>
      <c r="K106" s="3">
        <f>IF('Value at Risk'!$C$5=0,'Market Data - EQ'!F106-'Market Data - EQ'!F107,IF('Value at Risk'!$C$6=0,('Market Data - EQ'!F106-'Market Data - EQ'!F107)/'Market Data - EQ'!F107,LN('Market Data - EQ'!F106/'Market Data - EQ'!F107)))</f>
        <v>9.2649544045371405E-3</v>
      </c>
      <c r="L106" s="8">
        <f t="shared" si="1"/>
        <v>8.5767256068197441E-3</v>
      </c>
    </row>
    <row r="107" spans="1:12" x14ac:dyDescent="0.25">
      <c r="A107" s="5">
        <v>43671</v>
      </c>
      <c r="B107" s="4">
        <v>1143.030029</v>
      </c>
      <c r="C107" s="4">
        <v>341.29998799999998</v>
      </c>
      <c r="D107" s="4">
        <v>409</v>
      </c>
      <c r="E107" s="4">
        <v>1391.650024</v>
      </c>
      <c r="F107" s="4">
        <v>723.15002400000003</v>
      </c>
      <c r="G107" s="3">
        <f>IF('Value at Risk'!$C$5=0,'Market Data - EQ'!B107-'Market Data - EQ'!B108,IF('Value at Risk'!$C$6=0,('Market Data - EQ'!B107-'Market Data - EQ'!B108)/'Market Data - EQ'!B108,LN('Market Data - EQ'!B107/'Market Data - EQ'!B108)))</f>
        <v>2.2623333866932296E-3</v>
      </c>
      <c r="H107" s="3">
        <f>IF('Value at Risk'!$C$5=0,'Market Data - EQ'!C107-'Market Data - EQ'!C108,IF('Value at Risk'!$C$6=0,('Market Data - EQ'!C107-'Market Data - EQ'!C108)/'Market Data - EQ'!C108,LN('Market Data - EQ'!C107/'Market Data - EQ'!C108)))</f>
        <v>5.0058361895316842E-3</v>
      </c>
      <c r="I107" s="3">
        <f>IF('Value at Risk'!$C$5=0,'Market Data - EQ'!D107-'Market Data - EQ'!D108,IF('Value at Risk'!$C$6=0,('Market Data - EQ'!D107-'Market Data - EQ'!D108)/'Market Data - EQ'!D108,LN('Market Data - EQ'!D107/'Market Data - EQ'!D108)))</f>
        <v>1.2239902080783353E-3</v>
      </c>
      <c r="J107" s="3">
        <f>IF('Value at Risk'!$C$5=0,'Market Data - EQ'!E107-'Market Data - EQ'!E108,IF('Value at Risk'!$C$6=0,('Market Data - EQ'!E107-'Market Data - EQ'!E108)/'Market Data - EQ'!E108,LN('Market Data - EQ'!E107/'Market Data - EQ'!E108)))</f>
        <v>2.1769474302496351E-2</v>
      </c>
      <c r="K107" s="3">
        <f>IF('Value at Risk'!$C$5=0,'Market Data - EQ'!F107-'Market Data - EQ'!F108,IF('Value at Risk'!$C$6=0,('Market Data - EQ'!F107-'Market Data - EQ'!F108)/'Market Data - EQ'!F108,LN('Market Data - EQ'!F107/'Market Data - EQ'!F108)))</f>
        <v>1.5232396718782544E-2</v>
      </c>
      <c r="L107" s="8">
        <f t="shared" si="1"/>
        <v>9.0988061611164302E-3</v>
      </c>
    </row>
    <row r="108" spans="1:12" x14ac:dyDescent="0.25">
      <c r="A108" s="5">
        <v>43670</v>
      </c>
      <c r="B108" s="4">
        <v>1140.4499510000001</v>
      </c>
      <c r="C108" s="4">
        <v>339.60000600000001</v>
      </c>
      <c r="D108" s="4">
        <v>408.5</v>
      </c>
      <c r="E108" s="4">
        <v>1362</v>
      </c>
      <c r="F108" s="4">
        <v>712.29998799999998</v>
      </c>
      <c r="G108" s="3">
        <f>IF('Value at Risk'!$C$5=0,'Market Data - EQ'!B108-'Market Data - EQ'!B109,IF('Value at Risk'!$C$6=0,('Market Data - EQ'!B108-'Market Data - EQ'!B109)/'Market Data - EQ'!B109,LN('Market Data - EQ'!B108/'Market Data - EQ'!B109)))</f>
        <v>7.6871667771151366E-3</v>
      </c>
      <c r="H108" s="3">
        <f>IF('Value at Risk'!$C$5=0,'Market Data - EQ'!C108-'Market Data - EQ'!C109,IF('Value at Risk'!$C$6=0,('Market Data - EQ'!C108-'Market Data - EQ'!C109)/'Market Data - EQ'!C109,LN('Market Data - EQ'!C108/'Market Data - EQ'!C109)))</f>
        <v>-7.5979132344390667E-3</v>
      </c>
      <c r="I108" s="3">
        <f>IF('Value at Risk'!$C$5=0,'Market Data - EQ'!D108-'Market Data - EQ'!D109,IF('Value at Risk'!$C$6=0,('Market Data - EQ'!D108-'Market Data - EQ'!D109)/'Market Data - EQ'!D109,LN('Market Data - EQ'!D108/'Market Data - EQ'!D109)))</f>
        <v>-8.374831653118182E-3</v>
      </c>
      <c r="J108" s="3">
        <f>IF('Value at Risk'!$C$5=0,'Market Data - EQ'!E108-'Market Data - EQ'!E109,IF('Value at Risk'!$C$6=0,('Market Data - EQ'!E108-'Market Data - EQ'!E109)/'Market Data - EQ'!E109,LN('Market Data - EQ'!E108/'Market Data - EQ'!E109)))</f>
        <v>-3.8644785600847012E-2</v>
      </c>
      <c r="K108" s="3">
        <f>IF('Value at Risk'!$C$5=0,'Market Data - EQ'!F108-'Market Data - EQ'!F109,IF('Value at Risk'!$C$6=0,('Market Data - EQ'!F108-'Market Data - EQ'!F109)/'Market Data - EQ'!F109,LN('Market Data - EQ'!F108/'Market Data - EQ'!F109)))</f>
        <v>-2.1565950549450569E-2</v>
      </c>
      <c r="L108" s="8">
        <f t="shared" si="1"/>
        <v>-1.3699262852147939E-2</v>
      </c>
    </row>
    <row r="109" spans="1:12" x14ac:dyDescent="0.25">
      <c r="A109" s="5">
        <v>43669</v>
      </c>
      <c r="B109" s="4">
        <v>1131.75</v>
      </c>
      <c r="C109" s="4">
        <v>342.20001200000002</v>
      </c>
      <c r="D109" s="4">
        <v>411.95001200000002</v>
      </c>
      <c r="E109" s="4">
        <v>1416.75</v>
      </c>
      <c r="F109" s="4">
        <v>728</v>
      </c>
      <c r="G109" s="3">
        <f>IF('Value at Risk'!$C$5=0,'Market Data - EQ'!B109-'Market Data - EQ'!B110,IF('Value at Risk'!$C$6=0,('Market Data - EQ'!B109-'Market Data - EQ'!B110)/'Market Data - EQ'!B110,LN('Market Data - EQ'!B109/'Market Data - EQ'!B110)))</f>
        <v>-1.4687185556089869E-2</v>
      </c>
      <c r="H109" s="3">
        <f>IF('Value at Risk'!$C$5=0,'Market Data - EQ'!C109-'Market Data - EQ'!C110,IF('Value at Risk'!$C$6=0,('Market Data - EQ'!C109-'Market Data - EQ'!C110)/'Market Data - EQ'!C110,LN('Market Data - EQ'!C109/'Market Data - EQ'!C110)))</f>
        <v>-2.4654393193882379E-2</v>
      </c>
      <c r="I109" s="3">
        <f>IF('Value at Risk'!$C$5=0,'Market Data - EQ'!D109-'Market Data - EQ'!D110,IF('Value at Risk'!$C$6=0,('Market Data - EQ'!D109-'Market Data - EQ'!D110)/'Market Data - EQ'!D110,LN('Market Data - EQ'!D109/'Market Data - EQ'!D110)))</f>
        <v>1.0935893074119445E-3</v>
      </c>
      <c r="J109" s="3">
        <f>IF('Value at Risk'!$C$5=0,'Market Data - EQ'!E109-'Market Data - EQ'!E110,IF('Value at Risk'!$C$6=0,('Market Data - EQ'!E109-'Market Data - EQ'!E110)/'Market Data - EQ'!E110,LN('Market Data - EQ'!E109/'Market Data - EQ'!E110)))</f>
        <v>-1.16329947270223E-3</v>
      </c>
      <c r="K109" s="3">
        <f>IF('Value at Risk'!$C$5=0,'Market Data - EQ'!F109-'Market Data - EQ'!F110,IF('Value at Risk'!$C$6=0,('Market Data - EQ'!F109-'Market Data - EQ'!F110)/'Market Data - EQ'!F110,LN('Market Data - EQ'!F109/'Market Data - EQ'!F110)))</f>
        <v>7.5604920053253747E-4</v>
      </c>
      <c r="L109" s="8">
        <f t="shared" si="1"/>
        <v>-7.7310479429459995E-3</v>
      </c>
    </row>
    <row r="110" spans="1:12" x14ac:dyDescent="0.25">
      <c r="A110" s="5">
        <v>43668</v>
      </c>
      <c r="B110" s="4">
        <v>1148.619995</v>
      </c>
      <c r="C110" s="4">
        <v>350.85000600000001</v>
      </c>
      <c r="D110" s="4">
        <v>411.5</v>
      </c>
      <c r="E110" s="4">
        <v>1418.400024</v>
      </c>
      <c r="F110" s="4">
        <v>727.45001200000002</v>
      </c>
      <c r="G110" s="3">
        <f>IF('Value at Risk'!$C$5=0,'Market Data - EQ'!B110-'Market Data - EQ'!B111,IF('Value at Risk'!$C$6=0,('Market Data - EQ'!B110-'Market Data - EQ'!B111)/'Market Data - EQ'!B111,LN('Market Data - EQ'!B110/'Market Data - EQ'!B111)))</f>
        <v>-3.300159349235246E-2</v>
      </c>
      <c r="H110" s="3">
        <f>IF('Value at Risk'!$C$5=0,'Market Data - EQ'!C110-'Market Data - EQ'!C111,IF('Value at Risk'!$C$6=0,('Market Data - EQ'!C110-'Market Data - EQ'!C111)/'Market Data - EQ'!C111,LN('Market Data - EQ'!C110/'Market Data - EQ'!C111)))</f>
        <v>-1.4466275280898855E-2</v>
      </c>
      <c r="I110" s="3">
        <f>IF('Value at Risk'!$C$5=0,'Market Data - EQ'!D110-'Market Data - EQ'!D111,IF('Value at Risk'!$C$6=0,('Market Data - EQ'!D110-'Market Data - EQ'!D111)/'Market Data - EQ'!D111,LN('Market Data - EQ'!D110/'Market Data - EQ'!D111)))</f>
        <v>2.9247185841984845E-3</v>
      </c>
      <c r="J110" s="3">
        <f>IF('Value at Risk'!$C$5=0,'Market Data - EQ'!E110-'Market Data - EQ'!E111,IF('Value at Risk'!$C$6=0,('Market Data - EQ'!E110-'Market Data - EQ'!E111)/'Market Data - EQ'!E111,LN('Market Data - EQ'!E110/'Market Data - EQ'!E111)))</f>
        <v>-2.6368526081746212E-3</v>
      </c>
      <c r="K110" s="3">
        <f>IF('Value at Risk'!$C$5=0,'Market Data - EQ'!F110-'Market Data - EQ'!F111,IF('Value at Risk'!$C$6=0,('Market Data - EQ'!F110-'Market Data - EQ'!F111)/'Market Data - EQ'!F111,LN('Market Data - EQ'!F110/'Market Data - EQ'!F111)))</f>
        <v>-2.4682728830990536E-3</v>
      </c>
      <c r="L110" s="8">
        <f t="shared" si="1"/>
        <v>-9.9296551360653022E-3</v>
      </c>
    </row>
    <row r="111" spans="1:12" x14ac:dyDescent="0.25">
      <c r="A111" s="5">
        <v>43665</v>
      </c>
      <c r="B111" s="4">
        <v>1187.8199460000001</v>
      </c>
      <c r="C111" s="4">
        <v>356</v>
      </c>
      <c r="D111" s="4">
        <v>410.29998799999998</v>
      </c>
      <c r="E111" s="4">
        <v>1422.150024</v>
      </c>
      <c r="F111" s="4">
        <v>729.25</v>
      </c>
      <c r="G111" s="3">
        <f>IF('Value at Risk'!$C$5=0,'Market Data - EQ'!B111-'Market Data - EQ'!B112,IF('Value at Risk'!$C$6=0,('Market Data - EQ'!B111-'Market Data - EQ'!B112)/'Market Data - EQ'!B112,LN('Market Data - EQ'!B111/'Market Data - EQ'!B112)))</f>
        <v>-1.5033795544306118E-2</v>
      </c>
      <c r="H111" s="3">
        <f>IF('Value at Risk'!$C$5=0,'Market Data - EQ'!C111-'Market Data - EQ'!C112,IF('Value at Risk'!$C$6=0,('Market Data - EQ'!C111-'Market Data - EQ'!C112)/'Market Data - EQ'!C112,LN('Market Data - EQ'!C111/'Market Data - EQ'!C112)))</f>
        <v>-2.1036694971044032E-2</v>
      </c>
      <c r="I111" s="3">
        <f>IF('Value at Risk'!$C$5=0,'Market Data - EQ'!D111-'Market Data - EQ'!D112,IF('Value at Risk'!$C$6=0,('Market Data - EQ'!D111-'Market Data - EQ'!D112)/'Market Data - EQ'!D112,LN('Market Data - EQ'!D111/'Market Data - EQ'!D112)))</f>
        <v>-1.9945076124854806E-2</v>
      </c>
      <c r="J111" s="3">
        <f>IF('Value at Risk'!$C$5=0,'Market Data - EQ'!E111-'Market Data - EQ'!E112,IF('Value at Risk'!$C$6=0,('Market Data - EQ'!E111-'Market Data - EQ'!E112)/'Market Data - EQ'!E112,LN('Market Data - EQ'!E111/'Market Data - EQ'!E112)))</f>
        <v>-3.3504317946047503E-2</v>
      </c>
      <c r="K111" s="3">
        <f>IF('Value at Risk'!$C$5=0,'Market Data - EQ'!F111-'Market Data - EQ'!F112,IF('Value at Risk'!$C$6=0,('Market Data - EQ'!F111-'Market Data - EQ'!F112)/'Market Data - EQ'!F112,LN('Market Data - EQ'!F111/'Market Data - EQ'!F112)))</f>
        <v>-1.5059459263334693E-2</v>
      </c>
      <c r="L111" s="8">
        <f t="shared" si="1"/>
        <v>-2.0915868769917433E-2</v>
      </c>
    </row>
    <row r="112" spans="1:12" x14ac:dyDescent="0.25">
      <c r="A112" s="5">
        <v>43664</v>
      </c>
      <c r="B112" s="4">
        <v>1205.9499510000001</v>
      </c>
      <c r="C112" s="4">
        <v>363.64999399999999</v>
      </c>
      <c r="D112" s="4">
        <v>418.64999399999999</v>
      </c>
      <c r="E112" s="4">
        <v>1471.4499510000001</v>
      </c>
      <c r="F112" s="4">
        <v>740.40002400000003</v>
      </c>
      <c r="G112" s="3">
        <f>IF('Value at Risk'!$C$5=0,'Market Data - EQ'!B112-'Market Data - EQ'!B113,IF('Value at Risk'!$C$6=0,('Market Data - EQ'!B112-'Market Data - EQ'!B113)/'Market Data - EQ'!B113,LN('Market Data - EQ'!B112/'Market Data - EQ'!B113)))</f>
        <v>6.0314169905492203E-3</v>
      </c>
      <c r="H112" s="3">
        <f>IF('Value at Risk'!$C$5=0,'Market Data - EQ'!C112-'Market Data - EQ'!C113,IF('Value at Risk'!$C$6=0,('Market Data - EQ'!C112-'Market Data - EQ'!C113)/'Market Data - EQ'!C113,LN('Market Data - EQ'!C112/'Market Data - EQ'!C113)))</f>
        <v>-2.349624098006833E-2</v>
      </c>
      <c r="I112" s="3">
        <f>IF('Value at Risk'!$C$5=0,'Market Data - EQ'!D112-'Market Data - EQ'!D113,IF('Value at Risk'!$C$6=0,('Market Data - EQ'!D112-'Market Data - EQ'!D113)/'Market Data - EQ'!D113,LN('Market Data - EQ'!D112/'Market Data - EQ'!D113)))</f>
        <v>-1.4245391638934126E-2</v>
      </c>
      <c r="J112" s="3">
        <f>IF('Value at Risk'!$C$5=0,'Market Data - EQ'!E112-'Market Data - EQ'!E113,IF('Value at Risk'!$C$6=0,('Market Data - EQ'!E112-'Market Data - EQ'!E113)/'Market Data - EQ'!E113,LN('Market Data - EQ'!E112/'Market Data - EQ'!E113)))</f>
        <v>-1.9850157535387141E-2</v>
      </c>
      <c r="K112" s="3">
        <f>IF('Value at Risk'!$C$5=0,'Market Data - EQ'!F112-'Market Data - EQ'!F113,IF('Value at Risk'!$C$6=0,('Market Data - EQ'!F112-'Market Data - EQ'!F113)/'Market Data - EQ'!F113,LN('Market Data - EQ'!F112/'Market Data - EQ'!F113)))</f>
        <v>-1.6210407107427199E-2</v>
      </c>
      <c r="L112" s="8">
        <f t="shared" si="1"/>
        <v>-1.3554156054253516E-2</v>
      </c>
    </row>
    <row r="113" spans="1:12" x14ac:dyDescent="0.25">
      <c r="A113" s="5">
        <v>43663</v>
      </c>
      <c r="B113" s="4">
        <v>1198.719971</v>
      </c>
      <c r="C113" s="4">
        <v>372.39999399999999</v>
      </c>
      <c r="D113" s="4">
        <v>424.70001200000002</v>
      </c>
      <c r="E113" s="4">
        <v>1501.25</v>
      </c>
      <c r="F113" s="4">
        <v>752.59997599999997</v>
      </c>
      <c r="G113" s="3">
        <f>IF('Value at Risk'!$C$5=0,'Market Data - EQ'!B113-'Market Data - EQ'!B114,IF('Value at Risk'!$C$6=0,('Market Data - EQ'!B113-'Market Data - EQ'!B114)/'Market Data - EQ'!B114,LN('Market Data - EQ'!B113/'Market Data - EQ'!B114)))</f>
        <v>2.6095642879136504E-3</v>
      </c>
      <c r="H113" s="3">
        <f>IF('Value at Risk'!$C$5=0,'Market Data - EQ'!C113-'Market Data - EQ'!C114,IF('Value at Risk'!$C$6=0,('Market Data - EQ'!C113-'Market Data - EQ'!C114)/'Market Data - EQ'!C114,LN('Market Data - EQ'!C113/'Market Data - EQ'!C114)))</f>
        <v>2.2094106950556726E-2</v>
      </c>
      <c r="I113" s="3">
        <f>IF('Value at Risk'!$C$5=0,'Market Data - EQ'!D113-'Market Data - EQ'!D114,IF('Value at Risk'!$C$6=0,('Market Data - EQ'!D113-'Market Data - EQ'!D114)/'Market Data - EQ'!D114,LN('Market Data - EQ'!D113/'Market Data - EQ'!D114)))</f>
        <v>2.3552990717576105E-4</v>
      </c>
      <c r="J113" s="3">
        <f>IF('Value at Risk'!$C$5=0,'Market Data - EQ'!E113-'Market Data - EQ'!E114,IF('Value at Risk'!$C$6=0,('Market Data - EQ'!E113-'Market Data - EQ'!E114)/'Market Data - EQ'!E114,LN('Market Data - EQ'!E113/'Market Data - EQ'!E114)))</f>
        <v>1.9040218526317303E-2</v>
      </c>
      <c r="K113" s="3">
        <f>IF('Value at Risk'!$C$5=0,'Market Data - EQ'!F113-'Market Data - EQ'!F114,IF('Value at Risk'!$C$6=0,('Market Data - EQ'!F113-'Market Data - EQ'!F114)/'Market Data - EQ'!F114,LN('Market Data - EQ'!F113/'Market Data - EQ'!F114)))</f>
        <v>-1.110309721205858E-2</v>
      </c>
      <c r="L113" s="8">
        <f t="shared" si="1"/>
        <v>6.5752644919809715E-3</v>
      </c>
    </row>
    <row r="114" spans="1:12" x14ac:dyDescent="0.25">
      <c r="A114" s="5">
        <v>43662</v>
      </c>
      <c r="B114" s="4">
        <v>1195.599976</v>
      </c>
      <c r="C114" s="4">
        <v>364.35000600000001</v>
      </c>
      <c r="D114" s="4">
        <v>424.60000600000001</v>
      </c>
      <c r="E114" s="4">
        <v>1473.1999510000001</v>
      </c>
      <c r="F114" s="4">
        <v>761.04998799999998</v>
      </c>
      <c r="G114" s="3">
        <f>IF('Value at Risk'!$C$5=0,'Market Data - EQ'!B114-'Market Data - EQ'!B115,IF('Value at Risk'!$C$6=0,('Market Data - EQ'!B114-'Market Data - EQ'!B115)/'Market Data - EQ'!B115,LN('Market Data - EQ'!B114/'Market Data - EQ'!B115)))</f>
        <v>-1.486603244222383E-3</v>
      </c>
      <c r="H114" s="3">
        <f>IF('Value at Risk'!$C$5=0,'Market Data - EQ'!C114-'Market Data - EQ'!C115,IF('Value at Risk'!$C$6=0,('Market Data - EQ'!C114-'Market Data - EQ'!C115)/'Market Data - EQ'!C115,LN('Market Data - EQ'!C114/'Market Data - EQ'!C115)))</f>
        <v>1.1942836115300809E-2</v>
      </c>
      <c r="I114" s="3">
        <f>IF('Value at Risk'!$C$5=0,'Market Data - EQ'!D114-'Market Data - EQ'!D115,IF('Value at Risk'!$C$6=0,('Market Data - EQ'!D114-'Market Data - EQ'!D115)/'Market Data - EQ'!D115,LN('Market Data - EQ'!D114/'Market Data - EQ'!D115)))</f>
        <v>5.4464079217544821E-3</v>
      </c>
      <c r="J114" s="3">
        <f>IF('Value at Risk'!$C$5=0,'Market Data - EQ'!E114-'Market Data - EQ'!E115,IF('Value at Risk'!$C$6=0,('Market Data - EQ'!E114-'Market Data - EQ'!E115)/'Market Data - EQ'!E115,LN('Market Data - EQ'!E114/'Market Data - EQ'!E115)))</f>
        <v>-1.2880652368744356E-3</v>
      </c>
      <c r="K114" s="3">
        <f>IF('Value at Risk'!$C$5=0,'Market Data - EQ'!F114-'Market Data - EQ'!F115,IF('Value at Risk'!$C$6=0,('Market Data - EQ'!F114-'Market Data - EQ'!F115)/'Market Data - EQ'!F115,LN('Market Data - EQ'!F114/'Market Data - EQ'!F115)))</f>
        <v>1.5071674558186041E-2</v>
      </c>
      <c r="L114" s="8">
        <f t="shared" si="1"/>
        <v>5.9372500228289018E-3</v>
      </c>
    </row>
    <row r="115" spans="1:12" x14ac:dyDescent="0.25">
      <c r="A115" s="5">
        <v>43661</v>
      </c>
      <c r="B115" s="4">
        <v>1197.380005</v>
      </c>
      <c r="C115" s="4">
        <v>360.04998799999998</v>
      </c>
      <c r="D115" s="4">
        <v>422.29998799999998</v>
      </c>
      <c r="E115" s="4">
        <v>1475.099976</v>
      </c>
      <c r="F115" s="4">
        <v>749.75</v>
      </c>
      <c r="G115" s="3">
        <f>IF('Value at Risk'!$C$5=0,'Market Data - EQ'!B115-'Market Data - EQ'!B116,IF('Value at Risk'!$C$6=0,('Market Data - EQ'!B115-'Market Data - EQ'!B116)/'Market Data - EQ'!B116,LN('Market Data - EQ'!B115/'Market Data - EQ'!B116)))</f>
        <v>3.5929154735386869E-4</v>
      </c>
      <c r="H115" s="3">
        <f>IF('Value at Risk'!$C$5=0,'Market Data - EQ'!C115-'Market Data - EQ'!C116,IF('Value at Risk'!$C$6=0,('Market Data - EQ'!C115-'Market Data - EQ'!C116)/'Market Data - EQ'!C116,LN('Market Data - EQ'!C115/'Market Data - EQ'!C116)))</f>
        <v>-9.7635256914710353E-3</v>
      </c>
      <c r="I115" s="3">
        <f>IF('Value at Risk'!$C$5=0,'Market Data - EQ'!D115-'Market Data - EQ'!D116,IF('Value at Risk'!$C$6=0,('Market Data - EQ'!D115-'Market Data - EQ'!D116)/'Market Data - EQ'!D116,LN('Market Data - EQ'!D115/'Market Data - EQ'!D116)))</f>
        <v>-1.1122819654545922E-2</v>
      </c>
      <c r="J115" s="3">
        <f>IF('Value at Risk'!$C$5=0,'Market Data - EQ'!E115-'Market Data - EQ'!E116,IF('Value at Risk'!$C$6=0,('Market Data - EQ'!E115-'Market Data - EQ'!E116)/'Market Data - EQ'!E116,LN('Market Data - EQ'!E115/'Market Data - EQ'!E116)))</f>
        <v>-2.2789018880424002E-2</v>
      </c>
      <c r="K115" s="3">
        <f>IF('Value at Risk'!$C$5=0,'Market Data - EQ'!F115-'Market Data - EQ'!F116,IF('Value at Risk'!$C$6=0,('Market Data - EQ'!F115-'Market Data - EQ'!F116)/'Market Data - EQ'!F116,LN('Market Data - EQ'!F115/'Market Data - EQ'!F116)))</f>
        <v>-8.0047474147353186E-3</v>
      </c>
      <c r="L115" s="8">
        <f t="shared" si="1"/>
        <v>-1.0264164018764482E-2</v>
      </c>
    </row>
    <row r="116" spans="1:12" x14ac:dyDescent="0.25">
      <c r="A116" s="5">
        <v>43658</v>
      </c>
      <c r="B116" s="4">
        <v>1196.9499510000001</v>
      </c>
      <c r="C116" s="4">
        <v>363.60000600000001</v>
      </c>
      <c r="D116" s="4">
        <v>427.04998799999998</v>
      </c>
      <c r="E116" s="4">
        <v>1509.5</v>
      </c>
      <c r="F116" s="4">
        <v>755.79998799999998</v>
      </c>
      <c r="G116" s="3">
        <f>IF('Value at Risk'!$C$5=0,'Market Data - EQ'!B116-'Market Data - EQ'!B117,IF('Value at Risk'!$C$6=0,('Market Data - EQ'!B116-'Market Data - EQ'!B117)/'Market Data - EQ'!B117,LN('Market Data - EQ'!B116/'Market Data - EQ'!B117)))</f>
        <v>-5.5002993569266282E-3</v>
      </c>
      <c r="H116" s="3">
        <f>IF('Value at Risk'!$C$5=0,'Market Data - EQ'!C116-'Market Data - EQ'!C117,IF('Value at Risk'!$C$6=0,('Market Data - EQ'!C116-'Market Data - EQ'!C117)/'Market Data - EQ'!C117,LN('Market Data - EQ'!C116/'Market Data - EQ'!C117)))</f>
        <v>1.1013050296925441E-3</v>
      </c>
      <c r="I116" s="3">
        <f>IF('Value at Risk'!$C$5=0,'Market Data - EQ'!D116-'Market Data - EQ'!D117,IF('Value at Risk'!$C$6=0,('Market Data - EQ'!D116-'Market Data - EQ'!D117)/'Market Data - EQ'!D117,LN('Market Data - EQ'!D116/'Market Data - EQ'!D117)))</f>
        <v>1.1721955551901224E-3</v>
      </c>
      <c r="J116" s="3">
        <f>IF('Value at Risk'!$C$5=0,'Market Data - EQ'!E116-'Market Data - EQ'!E117,IF('Value at Risk'!$C$6=0,('Market Data - EQ'!E116-'Market Data - EQ'!E117)/'Market Data - EQ'!E117,LN('Market Data - EQ'!E116/'Market Data - EQ'!E117)))</f>
        <v>-2.0600162206001624E-2</v>
      </c>
      <c r="K116" s="3">
        <f>IF('Value at Risk'!$C$5=0,'Market Data - EQ'!F116-'Market Data - EQ'!F117,IF('Value at Risk'!$C$6=0,('Market Data - EQ'!F116-'Market Data - EQ'!F117)/'Market Data - EQ'!F117,LN('Market Data - EQ'!F116/'Market Data - EQ'!F117)))</f>
        <v>-1.3830944243289905E-2</v>
      </c>
      <c r="L116" s="8">
        <f t="shared" si="1"/>
        <v>-7.5315810442670977E-3</v>
      </c>
    </row>
    <row r="117" spans="1:12" x14ac:dyDescent="0.25">
      <c r="A117" s="5">
        <v>43657</v>
      </c>
      <c r="B117" s="4">
        <v>1203.5699460000001</v>
      </c>
      <c r="C117" s="4">
        <v>363.20001200000002</v>
      </c>
      <c r="D117" s="4">
        <v>426.54998799999998</v>
      </c>
      <c r="E117" s="4">
        <v>1541.25</v>
      </c>
      <c r="F117" s="4">
        <v>766.40002400000003</v>
      </c>
      <c r="G117" s="3">
        <f>IF('Value at Risk'!$C$5=0,'Market Data - EQ'!B117-'Market Data - EQ'!B118,IF('Value at Risk'!$C$6=0,('Market Data - EQ'!B117-'Market Data - EQ'!B118)/'Market Data - EQ'!B118,LN('Market Data - EQ'!B117/'Market Data - EQ'!B118)))</f>
        <v>7.6943191961758349E-3</v>
      </c>
      <c r="H117" s="3">
        <f>IF('Value at Risk'!$C$5=0,'Market Data - EQ'!C117-'Market Data - EQ'!C118,IF('Value at Risk'!$C$6=0,('Market Data - EQ'!C117-'Market Data - EQ'!C118)/'Market Data - EQ'!C118,LN('Market Data - EQ'!C117/'Market Data - EQ'!C118)))</f>
        <v>2.540937237461189E-2</v>
      </c>
      <c r="I117" s="3">
        <f>IF('Value at Risk'!$C$5=0,'Market Data - EQ'!D117-'Market Data - EQ'!D118,IF('Value at Risk'!$C$6=0,('Market Data - EQ'!D117-'Market Data - EQ'!D118)/'Market Data - EQ'!D118,LN('Market Data - EQ'!D117/'Market Data - EQ'!D118)))</f>
        <v>-1.0095163751615201E-2</v>
      </c>
      <c r="J117" s="3">
        <f>IF('Value at Risk'!$C$5=0,'Market Data - EQ'!E117-'Market Data - EQ'!E118,IF('Value at Risk'!$C$6=0,('Market Data - EQ'!E117-'Market Data - EQ'!E118)/'Market Data - EQ'!E118,LN('Market Data - EQ'!E117/'Market Data - EQ'!E118)))</f>
        <v>3.6308623298033284E-2</v>
      </c>
      <c r="K117" s="3">
        <f>IF('Value at Risk'!$C$5=0,'Market Data - EQ'!F117-'Market Data - EQ'!F118,IF('Value at Risk'!$C$6=0,('Market Data - EQ'!F117-'Market Data - EQ'!F118)/'Market Data - EQ'!F118,LN('Market Data - EQ'!F117/'Market Data - EQ'!F118)))</f>
        <v>-3.7048761780955081E-3</v>
      </c>
      <c r="L117" s="8">
        <f t="shared" si="1"/>
        <v>1.1122454987822061E-2</v>
      </c>
    </row>
    <row r="118" spans="1:12" x14ac:dyDescent="0.25">
      <c r="A118" s="5">
        <v>43656</v>
      </c>
      <c r="B118" s="4">
        <v>1194.380005</v>
      </c>
      <c r="C118" s="4">
        <v>354.20001200000002</v>
      </c>
      <c r="D118" s="4">
        <v>430.89999399999999</v>
      </c>
      <c r="E118" s="4">
        <v>1487.25</v>
      </c>
      <c r="F118" s="4">
        <v>769.25</v>
      </c>
      <c r="G118" s="3">
        <f>IF('Value at Risk'!$C$5=0,'Market Data - EQ'!B118-'Market Data - EQ'!B119,IF('Value at Risk'!$C$6=0,('Market Data - EQ'!B118-'Market Data - EQ'!B119)/'Market Data - EQ'!B119,LN('Market Data - EQ'!B118/'Market Data - EQ'!B119)))</f>
        <v>4.0435276766818302E-3</v>
      </c>
      <c r="H118" s="3">
        <f>IF('Value at Risk'!$C$5=0,'Market Data - EQ'!C118-'Market Data - EQ'!C119,IF('Value at Risk'!$C$6=0,('Market Data - EQ'!C118-'Market Data - EQ'!C119)/'Market Data - EQ'!C119,LN('Market Data - EQ'!C118/'Market Data - EQ'!C119)))</f>
        <v>-1.474266481223918E-2</v>
      </c>
      <c r="I118" s="3">
        <f>IF('Value at Risk'!$C$5=0,'Market Data - EQ'!D118-'Market Data - EQ'!D119,IF('Value at Risk'!$C$6=0,('Market Data - EQ'!D118-'Market Data - EQ'!D119)/'Market Data - EQ'!D119,LN('Market Data - EQ'!D118/'Market Data - EQ'!D119)))</f>
        <v>5.6009194865810795E-3</v>
      </c>
      <c r="J118" s="3">
        <f>IF('Value at Risk'!$C$5=0,'Market Data - EQ'!E118-'Market Data - EQ'!E119,IF('Value at Risk'!$C$6=0,('Market Data - EQ'!E118-'Market Data - EQ'!E119)/'Market Data - EQ'!E119,LN('Market Data - EQ'!E118/'Market Data - EQ'!E119)))</f>
        <v>-3.2504363501175805E-3</v>
      </c>
      <c r="K118" s="3">
        <f>IF('Value at Risk'!$C$5=0,'Market Data - EQ'!F118-'Market Data - EQ'!F119,IF('Value at Risk'!$C$6=0,('Market Data - EQ'!F118-'Market Data - EQ'!F119)/'Market Data - EQ'!F119,LN('Market Data - EQ'!F118/'Market Data - EQ'!F119)))</f>
        <v>-2.1559414578080693E-2</v>
      </c>
      <c r="L118" s="8">
        <f t="shared" si="1"/>
        <v>-5.9816137154349086E-3</v>
      </c>
    </row>
    <row r="119" spans="1:12" x14ac:dyDescent="0.25">
      <c r="A119" s="5">
        <v>43655</v>
      </c>
      <c r="B119" s="4">
        <v>1189.5699460000001</v>
      </c>
      <c r="C119" s="4">
        <v>359.5</v>
      </c>
      <c r="D119" s="4">
        <v>428.5</v>
      </c>
      <c r="E119" s="4">
        <v>1492.099976</v>
      </c>
      <c r="F119" s="4">
        <v>786.20001200000002</v>
      </c>
      <c r="G119" s="3">
        <f>IF('Value at Risk'!$C$5=0,'Market Data - EQ'!B119-'Market Data - EQ'!B120,IF('Value at Risk'!$C$6=0,('Market Data - EQ'!B119-'Market Data - EQ'!B120)/'Market Data - EQ'!B120,LN('Market Data - EQ'!B119/'Market Data - EQ'!B120)))</f>
        <v>-1.2641187234878568E-2</v>
      </c>
      <c r="H119" s="3">
        <f>IF('Value at Risk'!$C$5=0,'Market Data - EQ'!C119-'Market Data - EQ'!C120,IF('Value at Risk'!$C$6=0,('Market Data - EQ'!C119-'Market Data - EQ'!C120)/'Market Data - EQ'!C120,LN('Market Data - EQ'!C119/'Market Data - EQ'!C120)))</f>
        <v>1.1821030514642223E-2</v>
      </c>
      <c r="I119" s="3">
        <f>IF('Value at Risk'!$C$5=0,'Market Data - EQ'!D119-'Market Data - EQ'!D120,IF('Value at Risk'!$C$6=0,('Market Data - EQ'!D119-'Market Data - EQ'!D120)/'Market Data - EQ'!D120,LN('Market Data - EQ'!D119/'Market Data - EQ'!D120)))</f>
        <v>6.104733591520097E-3</v>
      </c>
      <c r="J119" s="3">
        <f>IF('Value at Risk'!$C$5=0,'Market Data - EQ'!E119-'Market Data - EQ'!E120,IF('Value at Risk'!$C$6=0,('Market Data - EQ'!E119-'Market Data - EQ'!E120)/'Market Data - EQ'!E120,LN('Market Data - EQ'!E119/'Market Data - EQ'!E120)))</f>
        <v>1.0565510328479492E-2</v>
      </c>
      <c r="K119" s="3">
        <f>IF('Value at Risk'!$C$5=0,'Market Data - EQ'!F119-'Market Data - EQ'!F120,IF('Value at Risk'!$C$6=0,('Market Data - EQ'!F119-'Market Data - EQ'!F120)/'Market Data - EQ'!F120,LN('Market Data - EQ'!F119/'Market Data - EQ'!F120)))</f>
        <v>4.2150822567863207E-3</v>
      </c>
      <c r="L119" s="8">
        <f t="shared" si="1"/>
        <v>4.0130338913099122E-3</v>
      </c>
    </row>
    <row r="120" spans="1:12" x14ac:dyDescent="0.25">
      <c r="A120" s="5">
        <v>43654</v>
      </c>
      <c r="B120" s="4">
        <v>1204.8000489999999</v>
      </c>
      <c r="C120" s="4">
        <v>355.29998799999998</v>
      </c>
      <c r="D120" s="4">
        <v>425.89999399999999</v>
      </c>
      <c r="E120" s="4">
        <v>1476.5</v>
      </c>
      <c r="F120" s="4">
        <v>782.90002400000003</v>
      </c>
      <c r="G120" s="3">
        <f>IF('Value at Risk'!$C$5=0,'Market Data - EQ'!B120-'Market Data - EQ'!B121,IF('Value at Risk'!$C$6=0,('Market Data - EQ'!B120-'Market Data - EQ'!B121)/'Market Data - EQ'!B121,LN('Market Data - EQ'!B120/'Market Data - EQ'!B121)))</f>
        <v>-2.540034237551924E-2</v>
      </c>
      <c r="H120" s="3">
        <f>IF('Value at Risk'!$C$5=0,'Market Data - EQ'!C120-'Market Data - EQ'!C121,IF('Value at Risk'!$C$6=0,('Market Data - EQ'!C120-'Market Data - EQ'!C121)/'Market Data - EQ'!C121,LN('Market Data - EQ'!C120/'Market Data - EQ'!C121)))</f>
        <v>-4.1413749490037788E-2</v>
      </c>
      <c r="I120" s="3">
        <f>IF('Value at Risk'!$C$5=0,'Market Data - EQ'!D120-'Market Data - EQ'!D121,IF('Value at Risk'!$C$6=0,('Market Data - EQ'!D120-'Market Data - EQ'!D121)/'Market Data - EQ'!D121,LN('Market Data - EQ'!D120/'Market Data - EQ'!D121)))</f>
        <v>-2.3948692234004497E-2</v>
      </c>
      <c r="J120" s="3">
        <f>IF('Value at Risk'!$C$5=0,'Market Data - EQ'!E120-'Market Data - EQ'!E121,IF('Value at Risk'!$C$6=0,('Market Data - EQ'!E120-'Market Data - EQ'!E121)/'Market Data - EQ'!E121,LN('Market Data - EQ'!E120/'Market Data - EQ'!E121)))</f>
        <v>-3.6573062678490018E-2</v>
      </c>
      <c r="K120" s="3">
        <f>IF('Value at Risk'!$C$5=0,'Market Data - EQ'!F120-'Market Data - EQ'!F121,IF('Value at Risk'!$C$6=0,('Market Data - EQ'!F120-'Market Data - EQ'!F121)/'Market Data - EQ'!F121,LN('Market Data - EQ'!F120/'Market Data - EQ'!F121)))</f>
        <v>-2.8780489629985972E-2</v>
      </c>
      <c r="L120" s="8">
        <f t="shared" si="1"/>
        <v>-3.1223267281607504E-2</v>
      </c>
    </row>
    <row r="121" spans="1:12" x14ac:dyDescent="0.25">
      <c r="A121" s="5">
        <v>43651</v>
      </c>
      <c r="B121" s="4">
        <v>1236.1999510000001</v>
      </c>
      <c r="C121" s="4">
        <v>370.64999399999999</v>
      </c>
      <c r="D121" s="4">
        <v>436.35000600000001</v>
      </c>
      <c r="E121" s="4">
        <v>1532.5500489999999</v>
      </c>
      <c r="F121" s="4">
        <v>806.09997599999997</v>
      </c>
      <c r="G121" s="3">
        <f>IF('Value at Risk'!$C$5=0,'Market Data - EQ'!B121-'Market Data - EQ'!B122,IF('Value at Risk'!$C$6=0,('Market Data - EQ'!B121-'Market Data - EQ'!B122)/'Market Data - EQ'!B122,LN('Market Data - EQ'!B121/'Market Data - EQ'!B122)))</f>
        <v>-4.5898002172838149E-3</v>
      </c>
      <c r="H121" s="3">
        <f>IF('Value at Risk'!$C$5=0,'Market Data - EQ'!C121-'Market Data - EQ'!C122,IF('Value at Risk'!$C$6=0,('Market Data - EQ'!C121-'Market Data - EQ'!C122)/'Market Data - EQ'!C122,LN('Market Data - EQ'!C121/'Market Data - EQ'!C122)))</f>
        <v>8.8459446191498856E-3</v>
      </c>
      <c r="I121" s="3">
        <f>IF('Value at Risk'!$C$5=0,'Market Data - EQ'!D121-'Market Data - EQ'!D122,IF('Value at Risk'!$C$6=0,('Market Data - EQ'!D121-'Market Data - EQ'!D122)/'Market Data - EQ'!D122,LN('Market Data - EQ'!D121/'Market Data - EQ'!D122)))</f>
        <v>3.4386518998993611E-4</v>
      </c>
      <c r="J121" s="3">
        <f>IF('Value at Risk'!$C$5=0,'Market Data - EQ'!E121-'Market Data - EQ'!E122,IF('Value at Risk'!$C$6=0,('Market Data - EQ'!E121-'Market Data - EQ'!E122)/'Market Data - EQ'!E122,LN('Market Data - EQ'!E121/'Market Data - EQ'!E122)))</f>
        <v>2.642158839603382E-2</v>
      </c>
      <c r="K121" s="3">
        <f>IF('Value at Risk'!$C$5=0,'Market Data - EQ'!F121-'Market Data - EQ'!F122,IF('Value at Risk'!$C$6=0,('Market Data - EQ'!F121-'Market Data - EQ'!F122)/'Market Data - EQ'!F122,LN('Market Data - EQ'!F121/'Market Data - EQ'!F122)))</f>
        <v>-3.3998888317949335E-3</v>
      </c>
      <c r="L121" s="8">
        <f t="shared" si="1"/>
        <v>5.5243418312189794E-3</v>
      </c>
    </row>
    <row r="122" spans="1:12" x14ac:dyDescent="0.25">
      <c r="A122" s="5">
        <v>43650</v>
      </c>
      <c r="B122" s="4">
        <v>1241.900024</v>
      </c>
      <c r="C122" s="4">
        <v>367.39999399999999</v>
      </c>
      <c r="D122" s="4">
        <v>436.20001200000002</v>
      </c>
      <c r="E122" s="4">
        <v>1493.099976</v>
      </c>
      <c r="F122" s="4">
        <v>808.84997599999997</v>
      </c>
      <c r="G122" s="3">
        <f>IF('Value at Risk'!$C$5=0,'Market Data - EQ'!B122-'Market Data - EQ'!B123,IF('Value at Risk'!$C$6=0,('Market Data - EQ'!B122-'Market Data - EQ'!B123)/'Market Data - EQ'!B123,LN('Market Data - EQ'!B122/'Market Data - EQ'!B123)))</f>
        <v>-2.3456581085342298E-3</v>
      </c>
      <c r="H122" s="3">
        <f>IF('Value at Risk'!$C$5=0,'Market Data - EQ'!C122-'Market Data - EQ'!C123,IF('Value at Risk'!$C$6=0,('Market Data - EQ'!C122-'Market Data - EQ'!C123)/'Market Data - EQ'!C123,LN('Market Data - EQ'!C122/'Market Data - EQ'!C123)))</f>
        <v>3.4139014624700501E-3</v>
      </c>
      <c r="I122" s="3">
        <f>IF('Value at Risk'!$C$5=0,'Market Data - EQ'!D122-'Market Data - EQ'!D123,IF('Value at Risk'!$C$6=0,('Market Data - EQ'!D122-'Market Data - EQ'!D123)/'Market Data - EQ'!D123,LN('Market Data - EQ'!D122/'Market Data - EQ'!D123)))</f>
        <v>5.7346024341891743E-4</v>
      </c>
      <c r="J122" s="3">
        <f>IF('Value at Risk'!$C$5=0,'Market Data - EQ'!E122-'Market Data - EQ'!E123,IF('Value at Risk'!$C$6=0,('Market Data - EQ'!E122-'Market Data - EQ'!E123)/'Market Data - EQ'!E123,LN('Market Data - EQ'!E122/'Market Data - EQ'!E123)))</f>
        <v>1.5299877850671202E-2</v>
      </c>
      <c r="K122" s="3">
        <f>IF('Value at Risk'!$C$5=0,'Market Data - EQ'!F122-'Market Data - EQ'!F123,IF('Value at Risk'!$C$6=0,('Market Data - EQ'!F122-'Market Data - EQ'!F123)/'Market Data - EQ'!F123,LN('Market Data - EQ'!F122/'Market Data - EQ'!F123)))</f>
        <v>3.2869808491145921E-3</v>
      </c>
      <c r="L122" s="8">
        <f t="shared" si="1"/>
        <v>4.0457124594281066E-3</v>
      </c>
    </row>
    <row r="123" spans="1:12" x14ac:dyDescent="0.25">
      <c r="A123" s="5">
        <v>43649</v>
      </c>
      <c r="B123" s="4">
        <v>1244.8199460000001</v>
      </c>
      <c r="C123" s="4">
        <v>366.14999399999999</v>
      </c>
      <c r="D123" s="4">
        <v>435.95001200000002</v>
      </c>
      <c r="E123" s="4">
        <v>1470.599976</v>
      </c>
      <c r="F123" s="4">
        <v>806.20001200000002</v>
      </c>
      <c r="G123" s="3">
        <f>IF('Value at Risk'!$C$5=0,'Market Data - EQ'!B123-'Market Data - EQ'!B124,IF('Value at Risk'!$C$6=0,('Market Data - EQ'!B123-'Market Data - EQ'!B124)/'Market Data - EQ'!B124,LN('Market Data - EQ'!B123/'Market Data - EQ'!B124)))</f>
        <v>-2.1483398797594606E-3</v>
      </c>
      <c r="H123" s="3">
        <f>IF('Value at Risk'!$C$5=0,'Market Data - EQ'!C123-'Market Data - EQ'!C124,IF('Value at Risk'!$C$6=0,('Market Data - EQ'!C123-'Market Data - EQ'!C124)/'Market Data - EQ'!C124,LN('Market Data - EQ'!C123/'Market Data - EQ'!C124)))</f>
        <v>4.5267325102880448E-3</v>
      </c>
      <c r="I123" s="3">
        <f>IF('Value at Risk'!$C$5=0,'Market Data - EQ'!D123-'Market Data - EQ'!D124,IF('Value at Risk'!$C$6=0,('Market Data - EQ'!D123-'Market Data - EQ'!D124)/'Market Data - EQ'!D124,LN('Market Data - EQ'!D123/'Market Data - EQ'!D124)))</f>
        <v>-1.8316840297652771E-3</v>
      </c>
      <c r="J123" s="3">
        <f>IF('Value at Risk'!$C$5=0,'Market Data - EQ'!E123-'Market Data - EQ'!E124,IF('Value at Risk'!$C$6=0,('Market Data - EQ'!E123-'Market Data - EQ'!E124)/'Market Data - EQ'!E124,LN('Market Data - EQ'!E123/'Market Data - EQ'!E124)))</f>
        <v>3.8156030588651677E-2</v>
      </c>
      <c r="K123" s="3">
        <f>IF('Value at Risk'!$C$5=0,'Market Data - EQ'!F123-'Market Data - EQ'!F124,IF('Value at Risk'!$C$6=0,('Market Data - EQ'!F123-'Market Data - EQ'!F124)/'Market Data - EQ'!F124,LN('Market Data - EQ'!F123/'Market Data - EQ'!F124)))</f>
        <v>4.4854673656257943E-3</v>
      </c>
      <c r="L123" s="8">
        <f t="shared" si="1"/>
        <v>8.6376413110081547E-3</v>
      </c>
    </row>
    <row r="124" spans="1:12" x14ac:dyDescent="0.25">
      <c r="A124" s="5">
        <v>43648</v>
      </c>
      <c r="B124" s="4">
        <v>1247.5</v>
      </c>
      <c r="C124" s="4">
        <v>364.5</v>
      </c>
      <c r="D124" s="4">
        <v>436.75</v>
      </c>
      <c r="E124" s="4">
        <v>1416.5500489999999</v>
      </c>
      <c r="F124" s="4">
        <v>802.59997599999997</v>
      </c>
      <c r="G124" s="3">
        <f>IF('Value at Risk'!$C$5=0,'Market Data - EQ'!B124-'Market Data - EQ'!B125,IF('Value at Risk'!$C$6=0,('Market Data - EQ'!B124-'Market Data - EQ'!B125)/'Market Data - EQ'!B125,LN('Market Data - EQ'!B124/'Market Data - EQ'!B125)))</f>
        <v>3.7979134600335507E-3</v>
      </c>
      <c r="H124" s="3">
        <f>IF('Value at Risk'!$C$5=0,'Market Data - EQ'!C124-'Market Data - EQ'!C125,IF('Value at Risk'!$C$6=0,('Market Data - EQ'!C124-'Market Data - EQ'!C125)/'Market Data - EQ'!C125,LN('Market Data - EQ'!C124/'Market Data - EQ'!C125)))</f>
        <v>8.1593475256871405E-3</v>
      </c>
      <c r="I124" s="3">
        <f>IF('Value at Risk'!$C$5=0,'Market Data - EQ'!D124-'Market Data - EQ'!D125,IF('Value at Risk'!$C$6=0,('Market Data - EQ'!D124-'Market Data - EQ'!D125)/'Market Data - EQ'!D125,LN('Market Data - EQ'!D124/'Market Data - EQ'!D125)))</f>
        <v>-5.1252847380410024E-3</v>
      </c>
      <c r="J124" s="3">
        <f>IF('Value at Risk'!$C$5=0,'Market Data - EQ'!E124-'Market Data - EQ'!E125,IF('Value at Risk'!$C$6=0,('Market Data - EQ'!E124-'Market Data - EQ'!E125)/'Market Data - EQ'!E125,LN('Market Data - EQ'!E124/'Market Data - EQ'!E125)))</f>
        <v>-1.1893085439058367E-2</v>
      </c>
      <c r="K124" s="3">
        <f>IF('Value at Risk'!$C$5=0,'Market Data - EQ'!F124-'Market Data - EQ'!F125,IF('Value at Risk'!$C$6=0,('Market Data - EQ'!F124-'Market Data - EQ'!F125)/'Market Data - EQ'!F125,LN('Market Data - EQ'!F124/'Market Data - EQ'!F125)))</f>
        <v>-9.6860212027488329E-3</v>
      </c>
      <c r="L124" s="8">
        <f t="shared" si="1"/>
        <v>-2.9494260788255023E-3</v>
      </c>
    </row>
    <row r="125" spans="1:12" x14ac:dyDescent="0.25">
      <c r="A125" s="5">
        <v>43647</v>
      </c>
      <c r="B125" s="4">
        <v>1242.780029</v>
      </c>
      <c r="C125" s="4">
        <v>361.54998799999998</v>
      </c>
      <c r="D125" s="4">
        <v>439</v>
      </c>
      <c r="E125" s="4">
        <v>1433.599976</v>
      </c>
      <c r="F125" s="4">
        <v>810.45001200000002</v>
      </c>
      <c r="G125" s="3">
        <f>IF('Value at Risk'!$C$5=0,'Market Data - EQ'!B125-'Market Data - EQ'!B126,IF('Value at Risk'!$C$6=0,('Market Data - EQ'!B125-'Market Data - EQ'!B126)/'Market Data - EQ'!B126,LN('Market Data - EQ'!B125/'Market Data - EQ'!B126)))</f>
        <v>1.7104808912885051E-2</v>
      </c>
      <c r="H125" s="3">
        <f>IF('Value at Risk'!$C$5=0,'Market Data - EQ'!C125-'Market Data - EQ'!C126,IF('Value at Risk'!$C$6=0,('Market Data - EQ'!C125-'Market Data - EQ'!C126)/'Market Data - EQ'!C126,LN('Market Data - EQ'!C125/'Market Data - EQ'!C126)))</f>
        <v>8.3041660899649782E-4</v>
      </c>
      <c r="I125" s="3">
        <f>IF('Value at Risk'!$C$5=0,'Market Data - EQ'!D125-'Market Data - EQ'!D126,IF('Value at Risk'!$C$6=0,('Market Data - EQ'!D125-'Market Data - EQ'!D126)/'Market Data - EQ'!D126,LN('Market Data - EQ'!D125/'Market Data - EQ'!D126)))</f>
        <v>4.3468176021942044E-3</v>
      </c>
      <c r="J125" s="3">
        <f>IF('Value at Risk'!$C$5=0,'Market Data - EQ'!E125-'Market Data - EQ'!E126,IF('Value at Risk'!$C$6=0,('Market Data - EQ'!E125-'Market Data - EQ'!E126)/'Market Data - EQ'!E126,LN('Market Data - EQ'!E125/'Market Data - EQ'!E126)))</f>
        <v>1.6377154200638049E-2</v>
      </c>
      <c r="K125" s="3">
        <f>IF('Value at Risk'!$C$5=0,'Market Data - EQ'!F125-'Market Data - EQ'!F126,IF('Value at Risk'!$C$6=0,('Market Data - EQ'!F125-'Market Data - EQ'!F126)/'Market Data - EQ'!F126,LN('Market Data - EQ'!F125/'Market Data - EQ'!F126)))</f>
        <v>2.3499153153163244E-3</v>
      </c>
      <c r="L125" s="8">
        <f t="shared" si="1"/>
        <v>8.2018225280060253E-3</v>
      </c>
    </row>
    <row r="126" spans="1:12" x14ac:dyDescent="0.25">
      <c r="A126" s="5">
        <v>43644</v>
      </c>
      <c r="B126" s="4">
        <v>1221.880005</v>
      </c>
      <c r="C126" s="4">
        <v>361.25</v>
      </c>
      <c r="D126" s="4">
        <v>437.10000600000001</v>
      </c>
      <c r="E126" s="4">
        <v>1410.5</v>
      </c>
      <c r="F126" s="4">
        <v>808.54998799999998</v>
      </c>
      <c r="G126" s="3">
        <f>IF('Value at Risk'!$C$5=0,'Market Data - EQ'!B126-'Market Data - EQ'!B127,IF('Value at Risk'!$C$6=0,('Market Data - EQ'!B126-'Market Data - EQ'!B127)/'Market Data - EQ'!B127,LN('Market Data - EQ'!B126/'Market Data - EQ'!B127)))</f>
        <v>-7.5295608327909571E-3</v>
      </c>
      <c r="H126" s="3">
        <f>IF('Value at Risk'!$C$5=0,'Market Data - EQ'!C126-'Market Data - EQ'!C127,IF('Value at Risk'!$C$6=0,('Market Data - EQ'!C126-'Market Data - EQ'!C127)/'Market Data - EQ'!C127,LN('Market Data - EQ'!C126/'Market Data - EQ'!C127)))</f>
        <v>-2.4851415571195412E-3</v>
      </c>
      <c r="I126" s="3">
        <f>IF('Value at Risk'!$C$5=0,'Market Data - EQ'!D126-'Market Data - EQ'!D127,IF('Value at Risk'!$C$6=0,('Market Data - EQ'!D126-'Market Data - EQ'!D127)/'Market Data - EQ'!D127,LN('Market Data - EQ'!D126/'Market Data - EQ'!D127)))</f>
        <v>-8.7311620256855949E-3</v>
      </c>
      <c r="J126" s="3">
        <f>IF('Value at Risk'!$C$5=0,'Market Data - EQ'!E126-'Market Data - EQ'!E127,IF('Value at Risk'!$C$6=0,('Market Data - EQ'!E126-'Market Data - EQ'!E127)/'Market Data - EQ'!E127,LN('Market Data - EQ'!E126/'Market Data - EQ'!E127)))</f>
        <v>-2.7375501545579665E-2</v>
      </c>
      <c r="K126" s="3">
        <f>IF('Value at Risk'!$C$5=0,'Market Data - EQ'!F126-'Market Data - EQ'!F127,IF('Value at Risk'!$C$6=0,('Market Data - EQ'!F126-'Market Data - EQ'!F127)/'Market Data - EQ'!F127,LN('Market Data - EQ'!F126/'Market Data - EQ'!F127)))</f>
        <v>1.0119277754473905E-2</v>
      </c>
      <c r="L126" s="8">
        <f t="shared" si="1"/>
        <v>-7.2004176413403721E-3</v>
      </c>
    </row>
    <row r="127" spans="1:12" x14ac:dyDescent="0.25">
      <c r="A127" s="5">
        <v>43643</v>
      </c>
      <c r="B127" s="4">
        <v>1231.150024</v>
      </c>
      <c r="C127" s="4">
        <v>362.14999399999999</v>
      </c>
      <c r="D127" s="4">
        <v>440.95001200000002</v>
      </c>
      <c r="E127" s="4">
        <v>1450.1999510000001</v>
      </c>
      <c r="F127" s="4">
        <v>800.45001200000002</v>
      </c>
      <c r="G127" s="3">
        <f>IF('Value at Risk'!$C$5=0,'Market Data - EQ'!B127-'Market Data - EQ'!B128,IF('Value at Risk'!$C$6=0,('Market Data - EQ'!B127-'Market Data - EQ'!B128)/'Market Data - EQ'!B128,LN('Market Data - EQ'!B127/'Market Data - EQ'!B128)))</f>
        <v>-2.2690766329144453E-3</v>
      </c>
      <c r="H127" s="3">
        <f>IF('Value at Risk'!$C$5=0,'Market Data - EQ'!C127-'Market Data - EQ'!C128,IF('Value at Risk'!$C$6=0,('Market Data - EQ'!C127-'Market Data - EQ'!C128)/'Market Data - EQ'!C128,LN('Market Data - EQ'!C127/'Market Data - EQ'!C128)))</f>
        <v>1.1168505003520955E-2</v>
      </c>
      <c r="I127" s="3">
        <f>IF('Value at Risk'!$C$5=0,'Market Data - EQ'!D127-'Market Data - EQ'!D128,IF('Value at Risk'!$C$6=0,('Market Data - EQ'!D127-'Market Data - EQ'!D128)/'Market Data - EQ'!D128,LN('Market Data - EQ'!D127/'Market Data - EQ'!D128)))</f>
        <v>5.2434014167569388E-3</v>
      </c>
      <c r="J127" s="3">
        <f>IF('Value at Risk'!$C$5=0,'Market Data - EQ'!E127-'Market Data - EQ'!E128,IF('Value at Risk'!$C$6=0,('Market Data - EQ'!E127-'Market Data - EQ'!E128)/'Market Data - EQ'!E128,LN('Market Data - EQ'!E127/'Market Data - EQ'!E128)))</f>
        <v>1.0733134565149511E-2</v>
      </c>
      <c r="K127" s="3">
        <f>IF('Value at Risk'!$C$5=0,'Market Data - EQ'!F127-'Market Data - EQ'!F128,IF('Value at Risk'!$C$6=0,('Market Data - EQ'!F127-'Market Data - EQ'!F128)/'Market Data - EQ'!F128,LN('Market Data - EQ'!F127/'Market Data - EQ'!F128)))</f>
        <v>1.5026675577783742E-2</v>
      </c>
      <c r="L127" s="8">
        <f t="shared" si="1"/>
        <v>7.9805279860593395E-3</v>
      </c>
    </row>
    <row r="128" spans="1:12" x14ac:dyDescent="0.25">
      <c r="A128" s="5">
        <v>43642</v>
      </c>
      <c r="B128" s="4">
        <v>1233.9499510000001</v>
      </c>
      <c r="C128" s="4">
        <v>358.14999399999999</v>
      </c>
      <c r="D128" s="4">
        <v>438.64999399999999</v>
      </c>
      <c r="E128" s="4">
        <v>1434.8000489999999</v>
      </c>
      <c r="F128" s="4">
        <v>788.59997599999997</v>
      </c>
      <c r="G128" s="3">
        <f>IF('Value at Risk'!$C$5=0,'Market Data - EQ'!B128-'Market Data - EQ'!B129,IF('Value at Risk'!$C$6=0,('Market Data - EQ'!B128-'Market Data - EQ'!B129)/'Market Data - EQ'!B129,LN('Market Data - EQ'!B128/'Market Data - EQ'!B129)))</f>
        <v>1.6140301714799958E-2</v>
      </c>
      <c r="H128" s="3">
        <f>IF('Value at Risk'!$C$5=0,'Market Data - EQ'!C128-'Market Data - EQ'!C129,IF('Value at Risk'!$C$6=0,('Market Data - EQ'!C128-'Market Data - EQ'!C129)/'Market Data - EQ'!C129,LN('Market Data - EQ'!C128/'Market Data - EQ'!C129)))</f>
        <v>4.4874661445788852E-3</v>
      </c>
      <c r="I128" s="3">
        <f>IF('Value at Risk'!$C$5=0,'Market Data - EQ'!D128-'Market Data - EQ'!D129,IF('Value at Risk'!$C$6=0,('Market Data - EQ'!D128-'Market Data - EQ'!D129)/'Market Data - EQ'!D129,LN('Market Data - EQ'!D128/'Market Data - EQ'!D129)))</f>
        <v>1.1530035902640874E-2</v>
      </c>
      <c r="J128" s="3">
        <f>IF('Value at Risk'!$C$5=0,'Market Data - EQ'!E128-'Market Data - EQ'!E129,IF('Value at Risk'!$C$6=0,('Market Data - EQ'!E128-'Market Data - EQ'!E129)/'Market Data - EQ'!E129,LN('Market Data - EQ'!E128/'Market Data - EQ'!E129)))</f>
        <v>-1.0243834549131208E-2</v>
      </c>
      <c r="K128" s="3">
        <f>IF('Value at Risk'!$C$5=0,'Market Data - EQ'!F128-'Market Data - EQ'!F129,IF('Value at Risk'!$C$6=0,('Market Data - EQ'!F128-'Market Data - EQ'!F129)/'Market Data - EQ'!F129,LN('Market Data - EQ'!F128/'Market Data - EQ'!F129)))</f>
        <v>8.8913858972771414E-3</v>
      </c>
      <c r="L128" s="8">
        <f t="shared" si="1"/>
        <v>6.1610710220331311E-3</v>
      </c>
    </row>
    <row r="129" spans="1:12" x14ac:dyDescent="0.25">
      <c r="A129" s="5">
        <v>43641</v>
      </c>
      <c r="B129" s="4">
        <v>1214.349976</v>
      </c>
      <c r="C129" s="4">
        <v>356.54998799999998</v>
      </c>
      <c r="D129" s="4">
        <v>433.64999399999999</v>
      </c>
      <c r="E129" s="4">
        <v>1449.650024</v>
      </c>
      <c r="F129" s="4">
        <v>781.65002400000003</v>
      </c>
      <c r="G129" s="3">
        <f>IF('Value at Risk'!$C$5=0,'Market Data - EQ'!B129-'Market Data - EQ'!B130,IF('Value at Risk'!$C$6=0,('Market Data - EQ'!B129-'Market Data - EQ'!B130)/'Market Data - EQ'!B130,LN('Market Data - EQ'!B129/'Market Data - EQ'!B130)))</f>
        <v>4.4500733095545041E-3</v>
      </c>
      <c r="H129" s="3">
        <f>IF('Value at Risk'!$C$5=0,'Market Data - EQ'!C129-'Market Data - EQ'!C130,IF('Value at Risk'!$C$6=0,('Market Data - EQ'!C129-'Market Data - EQ'!C130)/'Market Data - EQ'!C130,LN('Market Data - EQ'!C129/'Market Data - EQ'!C130)))</f>
        <v>9.4846429393665183E-3</v>
      </c>
      <c r="I129" s="3">
        <f>IF('Value at Risk'!$C$5=0,'Market Data - EQ'!D129-'Market Data - EQ'!D130,IF('Value at Risk'!$C$6=0,('Market Data - EQ'!D129-'Market Data - EQ'!D130)/'Market Data - EQ'!D130,LN('Market Data - EQ'!D129/'Market Data - EQ'!D130)))</f>
        <v>9.7799089128910704E-3</v>
      </c>
      <c r="J129" s="3">
        <f>IF('Value at Risk'!$C$5=0,'Market Data - EQ'!E129-'Market Data - EQ'!E130,IF('Value at Risk'!$C$6=0,('Market Data - EQ'!E129-'Market Data - EQ'!E130)/'Market Data - EQ'!E130,LN('Market Data - EQ'!E129/'Market Data - EQ'!E130)))</f>
        <v>-8.1420578160439818E-3</v>
      </c>
      <c r="K129" s="3">
        <f>IF('Value at Risk'!$C$5=0,'Market Data - EQ'!F129-'Market Data - EQ'!F130,IF('Value at Risk'!$C$6=0,('Market Data - EQ'!F129-'Market Data - EQ'!F130)/'Market Data - EQ'!F130,LN('Market Data - EQ'!F129/'Market Data - EQ'!F130)))</f>
        <v>2.4644489206879207E-2</v>
      </c>
      <c r="L129" s="8">
        <f t="shared" si="1"/>
        <v>8.0434113105294636E-3</v>
      </c>
    </row>
    <row r="130" spans="1:12" x14ac:dyDescent="0.25">
      <c r="A130" s="5">
        <v>43640</v>
      </c>
      <c r="B130" s="4">
        <v>1208.969971</v>
      </c>
      <c r="C130" s="4">
        <v>353.20001200000002</v>
      </c>
      <c r="D130" s="4">
        <v>429.45001200000002</v>
      </c>
      <c r="E130" s="4">
        <v>1461.5500489999999</v>
      </c>
      <c r="F130" s="4">
        <v>762.84997599999997</v>
      </c>
      <c r="G130" s="3">
        <f>IF('Value at Risk'!$C$5=0,'Market Data - EQ'!B130-'Market Data - EQ'!B131,IF('Value at Risk'!$C$6=0,('Market Data - EQ'!B130-'Market Data - EQ'!B131)/'Market Data - EQ'!B131,LN('Market Data - EQ'!B130/'Market Data - EQ'!B131)))</f>
        <v>1.5491633147046116E-3</v>
      </c>
      <c r="H130" s="3">
        <f>IF('Value at Risk'!$C$5=0,'Market Data - EQ'!C130-'Market Data - EQ'!C131,IF('Value at Risk'!$C$6=0,('Market Data - EQ'!C130-'Market Data - EQ'!C131)/'Market Data - EQ'!C131,LN('Market Data - EQ'!C130/'Market Data - EQ'!C131)))</f>
        <v>1.0875838767186764E-2</v>
      </c>
      <c r="I130" s="3">
        <f>IF('Value at Risk'!$C$5=0,'Market Data - EQ'!D130-'Market Data - EQ'!D131,IF('Value at Risk'!$C$6=0,('Market Data - EQ'!D130-'Market Data - EQ'!D131)/'Market Data - EQ'!D131,LN('Market Data - EQ'!D130/'Market Data - EQ'!D131)))</f>
        <v>-3.1336491123578436E-3</v>
      </c>
      <c r="J130" s="3">
        <f>IF('Value at Risk'!$C$5=0,'Market Data - EQ'!E130-'Market Data - EQ'!E131,IF('Value at Risk'!$C$6=0,('Market Data - EQ'!E130-'Market Data - EQ'!E131)/'Market Data - EQ'!E131,LN('Market Data - EQ'!E130/'Market Data - EQ'!E131)))</f>
        <v>8.9048595494310451E-3</v>
      </c>
      <c r="K130" s="3">
        <f>IF('Value at Risk'!$C$5=0,'Market Data - EQ'!F130-'Market Data - EQ'!F131,IF('Value at Risk'!$C$6=0,('Market Data - EQ'!F130-'Market Data - EQ'!F131)/'Market Data - EQ'!F131,LN('Market Data - EQ'!F130/'Market Data - EQ'!F131)))</f>
        <v>-1.0634864311806481E-2</v>
      </c>
      <c r="L130" s="8">
        <f t="shared" si="1"/>
        <v>1.5122696414316191E-3</v>
      </c>
    </row>
    <row r="131" spans="1:12" x14ac:dyDescent="0.25">
      <c r="A131" s="5">
        <v>43637</v>
      </c>
      <c r="B131" s="4">
        <v>1207.099976</v>
      </c>
      <c r="C131" s="4">
        <v>349.39999399999999</v>
      </c>
      <c r="D131" s="4">
        <v>430.79998799999998</v>
      </c>
      <c r="E131" s="4">
        <v>1448.650024</v>
      </c>
      <c r="F131" s="4">
        <v>771.04998799999998</v>
      </c>
      <c r="G131" s="3">
        <f>IF('Value at Risk'!$C$5=0,'Market Data - EQ'!B131-'Market Data - EQ'!B132,IF('Value at Risk'!$C$6=0,('Market Data - EQ'!B131-'Market Data - EQ'!B132)/'Market Data - EQ'!B132,LN('Market Data - EQ'!B131/'Market Data - EQ'!B132)))</f>
        <v>-5.0116864186426514E-3</v>
      </c>
      <c r="H131" s="3">
        <f>IF('Value at Risk'!$C$5=0,'Market Data - EQ'!C131-'Market Data - EQ'!C132,IF('Value at Risk'!$C$6=0,('Market Data - EQ'!C131-'Market Data - EQ'!C132)/'Market Data - EQ'!C132,LN('Market Data - EQ'!C131/'Market Data - EQ'!C132)))</f>
        <v>1.2313487103812611E-2</v>
      </c>
      <c r="I131" s="3">
        <f>IF('Value at Risk'!$C$5=0,'Market Data - EQ'!D131-'Market Data - EQ'!D132,IF('Value at Risk'!$C$6=0,('Market Data - EQ'!D131-'Market Data - EQ'!D132)/'Market Data - EQ'!D132,LN('Market Data - EQ'!D131/'Market Data - EQ'!D132)))</f>
        <v>-5.9990909921424865E-3</v>
      </c>
      <c r="J131" s="3">
        <f>IF('Value at Risk'!$C$5=0,'Market Data - EQ'!E131-'Market Data - EQ'!E132,IF('Value at Risk'!$C$6=0,('Market Data - EQ'!E131-'Market Data - EQ'!E132)/'Market Data - EQ'!E132,LN('Market Data - EQ'!E131/'Market Data - EQ'!E132)))</f>
        <v>9.0903094303200656E-3</v>
      </c>
      <c r="K131" s="3">
        <f>IF('Value at Risk'!$C$5=0,'Market Data - EQ'!F131-'Market Data - EQ'!F132,IF('Value at Risk'!$C$6=0,('Market Data - EQ'!F131-'Market Data - EQ'!F132)/'Market Data - EQ'!F132,LN('Market Data - EQ'!F131/'Market Data - EQ'!F132)))</f>
        <v>-4.5376716244443041E-4</v>
      </c>
      <c r="L131" s="8">
        <f t="shared" si="1"/>
        <v>1.9878503921806215E-3</v>
      </c>
    </row>
    <row r="132" spans="1:12" x14ac:dyDescent="0.25">
      <c r="A132" s="5">
        <v>43636</v>
      </c>
      <c r="B132" s="4">
        <v>1213.1800539999999</v>
      </c>
      <c r="C132" s="4">
        <v>345.14999399999999</v>
      </c>
      <c r="D132" s="4">
        <v>433.39999399999999</v>
      </c>
      <c r="E132" s="4">
        <v>1435.599976</v>
      </c>
      <c r="F132" s="4">
        <v>771.40002400000003</v>
      </c>
      <c r="G132" s="3">
        <f>IF('Value at Risk'!$C$5=0,'Market Data - EQ'!B132-'Market Data - EQ'!B133,IF('Value at Risk'!$C$6=0,('Market Data - EQ'!B132-'Market Data - EQ'!B133)/'Market Data - EQ'!B133,LN('Market Data - EQ'!B132/'Market Data - EQ'!B133)))</f>
        <v>-8.2360107687949222E-4</v>
      </c>
      <c r="H132" s="3">
        <f>IF('Value at Risk'!$C$5=0,'Market Data - EQ'!C132-'Market Data - EQ'!C133,IF('Value at Risk'!$C$6=0,('Market Data - EQ'!C132-'Market Data - EQ'!C133)/'Market Data - EQ'!C133,LN('Market Data - EQ'!C132/'Market Data - EQ'!C133)))</f>
        <v>1.8592261733647378E-2</v>
      </c>
      <c r="I132" s="3">
        <f>IF('Value at Risk'!$C$5=0,'Market Data - EQ'!D132-'Market Data - EQ'!D133,IF('Value at Risk'!$C$6=0,('Market Data - EQ'!D132-'Market Data - EQ'!D133)/'Market Data - EQ'!D133,LN('Market Data - EQ'!D132/'Market Data - EQ'!D133)))</f>
        <v>3.2396394446776423E-2</v>
      </c>
      <c r="J132" s="3">
        <f>IF('Value at Risk'!$C$5=0,'Market Data - EQ'!E132-'Market Data - EQ'!E133,IF('Value at Risk'!$C$6=0,('Market Data - EQ'!E132-'Market Data - EQ'!E133)/'Market Data - EQ'!E133,LN('Market Data - EQ'!E132/'Market Data - EQ'!E133)))</f>
        <v>3.9273175475119423E-2</v>
      </c>
      <c r="K132" s="3">
        <f>IF('Value at Risk'!$C$5=0,'Market Data - EQ'!F132-'Market Data - EQ'!F133,IF('Value at Risk'!$C$6=0,('Market Data - EQ'!F132-'Market Data - EQ'!F133)/'Market Data - EQ'!F133,LN('Market Data - EQ'!F132/'Market Data - EQ'!F133)))</f>
        <v>9.0828076956097823E-4</v>
      </c>
      <c r="L132" s="8">
        <f t="shared" ref="L132:L195" si="2">AVERAGE(G132:K132)</f>
        <v>1.8069302269644944E-2</v>
      </c>
    </row>
    <row r="133" spans="1:12" x14ac:dyDescent="0.25">
      <c r="A133" s="5">
        <v>43635</v>
      </c>
      <c r="B133" s="4">
        <v>1214.1800539999999</v>
      </c>
      <c r="C133" s="4">
        <v>338.85000600000001</v>
      </c>
      <c r="D133" s="4">
        <v>419.79998799999998</v>
      </c>
      <c r="E133" s="4">
        <v>1381.349976</v>
      </c>
      <c r="F133" s="4">
        <v>770.70001200000002</v>
      </c>
      <c r="G133" s="3">
        <f>IF('Value at Risk'!$C$5=0,'Market Data - EQ'!B133-'Market Data - EQ'!B134,IF('Value at Risk'!$C$6=0,('Market Data - EQ'!B133-'Market Data - EQ'!B134)/'Market Data - EQ'!B134,LN('Market Data - EQ'!B133/'Market Data - EQ'!B134)))</f>
        <v>4.6003367667270057E-3</v>
      </c>
      <c r="H133" s="3">
        <f>IF('Value at Risk'!$C$5=0,'Market Data - EQ'!C133-'Market Data - EQ'!C134,IF('Value at Risk'!$C$6=0,('Market Data - EQ'!C133-'Market Data - EQ'!C134)/'Market Data - EQ'!C134,LN('Market Data - EQ'!C133/'Market Data - EQ'!C134)))</f>
        <v>-3.5288400010176661E-3</v>
      </c>
      <c r="I133" s="3">
        <f>IF('Value at Risk'!$C$5=0,'Market Data - EQ'!D133-'Market Data - EQ'!D134,IF('Value at Risk'!$C$6=0,('Market Data - EQ'!D133-'Market Data - EQ'!D134)/'Market Data - EQ'!D134,LN('Market Data - EQ'!D133/'Market Data - EQ'!D134)))</f>
        <v>-5.5667559715753727E-3</v>
      </c>
      <c r="J133" s="3">
        <f>IF('Value at Risk'!$C$5=0,'Market Data - EQ'!E133-'Market Data - EQ'!E134,IF('Value at Risk'!$C$6=0,('Market Data - EQ'!E133-'Market Data - EQ'!E134)/'Market Data - EQ'!E134,LN('Market Data - EQ'!E133/'Market Data - EQ'!E134)))</f>
        <v>-1.9623863733144096E-2</v>
      </c>
      <c r="K133" s="3">
        <f>IF('Value at Risk'!$C$5=0,'Market Data - EQ'!F133-'Market Data - EQ'!F134,IF('Value at Risk'!$C$6=0,('Market Data - EQ'!F133-'Market Data - EQ'!F134)/'Market Data - EQ'!F134,LN('Market Data - EQ'!F133/'Market Data - EQ'!F134)))</f>
        <v>-6.5098137286496742E-3</v>
      </c>
      <c r="L133" s="8">
        <f t="shared" si="2"/>
        <v>-6.1257873335319613E-3</v>
      </c>
    </row>
    <row r="134" spans="1:12" x14ac:dyDescent="0.25">
      <c r="A134" s="5">
        <v>43634</v>
      </c>
      <c r="B134" s="4">
        <v>1208.619995</v>
      </c>
      <c r="C134" s="4">
        <v>340.04998799999998</v>
      </c>
      <c r="D134" s="4">
        <v>422.14999399999999</v>
      </c>
      <c r="E134" s="4">
        <v>1409</v>
      </c>
      <c r="F134" s="4">
        <v>775.75</v>
      </c>
      <c r="G134" s="3">
        <f>IF('Value at Risk'!$C$5=0,'Market Data - EQ'!B134-'Market Data - EQ'!B135,IF('Value at Risk'!$C$6=0,('Market Data - EQ'!B134-'Market Data - EQ'!B135)/'Market Data - EQ'!B135,LN('Market Data - EQ'!B134/'Market Data - EQ'!B135)))</f>
        <v>-1.9653220478942882E-3</v>
      </c>
      <c r="H134" s="3">
        <f>IF('Value at Risk'!$C$5=0,'Market Data - EQ'!C134-'Market Data - EQ'!C135,IF('Value at Risk'!$C$6=0,('Market Data - EQ'!C134-'Market Data - EQ'!C135)/'Market Data - EQ'!C135,LN('Market Data - EQ'!C134/'Market Data - EQ'!C135)))</f>
        <v>6.5117121827133464E-3</v>
      </c>
      <c r="I134" s="3">
        <f>IF('Value at Risk'!$C$5=0,'Market Data - EQ'!D134-'Market Data - EQ'!D135,IF('Value at Risk'!$C$6=0,('Market Data - EQ'!D134-'Market Data - EQ'!D135)/'Market Data - EQ'!D135,LN('Market Data - EQ'!D134/'Market Data - EQ'!D135)))</f>
        <v>1.919358225416946E-2</v>
      </c>
      <c r="J134" s="3">
        <f>IF('Value at Risk'!$C$5=0,'Market Data - EQ'!E134-'Market Data - EQ'!E135,IF('Value at Risk'!$C$6=0,('Market Data - EQ'!E134-'Market Data - EQ'!E135)/'Market Data - EQ'!E135,LN('Market Data - EQ'!E134/'Market Data - EQ'!E135)))</f>
        <v>6.6802242272529476E-3</v>
      </c>
      <c r="K134" s="3">
        <f>IF('Value at Risk'!$C$5=0,'Market Data - EQ'!F134-'Market Data - EQ'!F135,IF('Value at Risk'!$C$6=0,('Market Data - EQ'!F134-'Market Data - EQ'!F135)/'Market Data - EQ'!F135,LN('Market Data - EQ'!F134/'Market Data - EQ'!F135)))</f>
        <v>-2.5074089879273593E-3</v>
      </c>
      <c r="L134" s="8">
        <f t="shared" si="2"/>
        <v>5.5825575256628216E-3</v>
      </c>
    </row>
    <row r="135" spans="1:12" x14ac:dyDescent="0.25">
      <c r="A135" s="5">
        <v>43633</v>
      </c>
      <c r="B135" s="4">
        <v>1211</v>
      </c>
      <c r="C135" s="4">
        <v>337.85000600000001</v>
      </c>
      <c r="D135" s="4">
        <v>414.20001200000002</v>
      </c>
      <c r="E135" s="4">
        <v>1399.650024</v>
      </c>
      <c r="F135" s="4">
        <v>777.70001200000002</v>
      </c>
      <c r="G135" s="3">
        <f>IF('Value at Risk'!$C$5=0,'Market Data - EQ'!B135-'Market Data - EQ'!B136,IF('Value at Risk'!$C$6=0,('Market Data - EQ'!B135-'Market Data - EQ'!B136)/'Market Data - EQ'!B136,LN('Market Data - EQ'!B135/'Market Data - EQ'!B136)))</f>
        <v>-5.3796958945380854E-3</v>
      </c>
      <c r="H135" s="3">
        <f>IF('Value at Risk'!$C$5=0,'Market Data - EQ'!C135-'Market Data - EQ'!C136,IF('Value at Risk'!$C$6=0,('Market Data - EQ'!C135-'Market Data - EQ'!C136)/'Market Data - EQ'!C136,LN('Market Data - EQ'!C135/'Market Data - EQ'!C136)))</f>
        <v>-1.7306521837342173E-2</v>
      </c>
      <c r="I135" s="3">
        <f>IF('Value at Risk'!$C$5=0,'Market Data - EQ'!D135-'Market Data - EQ'!D136,IF('Value at Risk'!$C$6=0,('Market Data - EQ'!D135-'Market Data - EQ'!D136)/'Market Data - EQ'!D136,LN('Market Data - EQ'!D135/'Market Data - EQ'!D136)))</f>
        <v>-8.4978767205265947E-3</v>
      </c>
      <c r="J135" s="3">
        <f>IF('Value at Risk'!$C$5=0,'Market Data - EQ'!E135-'Market Data - EQ'!E136,IF('Value at Risk'!$C$6=0,('Market Data - EQ'!E135-'Market Data - EQ'!E136)/'Market Data - EQ'!E136,LN('Market Data - EQ'!E135/'Market Data - EQ'!E136)))</f>
        <v>-1.9028612326603526E-2</v>
      </c>
      <c r="K135" s="3">
        <f>IF('Value at Risk'!$C$5=0,'Market Data - EQ'!F135-'Market Data - EQ'!F136,IF('Value at Risk'!$C$6=0,('Market Data - EQ'!F135-'Market Data - EQ'!F136)/'Market Data - EQ'!F136,LN('Market Data - EQ'!F135/'Market Data - EQ'!F136)))</f>
        <v>-2.9331003055451776E-2</v>
      </c>
      <c r="L135" s="8">
        <f t="shared" si="2"/>
        <v>-1.5908741966892431E-2</v>
      </c>
    </row>
    <row r="136" spans="1:12" x14ac:dyDescent="0.25">
      <c r="A136" s="5">
        <v>43630</v>
      </c>
      <c r="B136" s="4">
        <v>1217.5500489999999</v>
      </c>
      <c r="C136" s="4">
        <v>343.79998799999998</v>
      </c>
      <c r="D136" s="4">
        <v>417.75</v>
      </c>
      <c r="E136" s="4">
        <v>1426.8000489999999</v>
      </c>
      <c r="F136" s="4">
        <v>801.20001200000002</v>
      </c>
      <c r="G136" s="3">
        <f>IF('Value at Risk'!$C$5=0,'Market Data - EQ'!B136-'Market Data - EQ'!B137,IF('Value at Risk'!$C$6=0,('Market Data - EQ'!B136-'Market Data - EQ'!B137)/'Market Data - EQ'!B137,LN('Market Data - EQ'!B136/'Market Data - EQ'!B137)))</f>
        <v>-3.9268025477508786E-3</v>
      </c>
      <c r="H136" s="3">
        <f>IF('Value at Risk'!$C$5=0,'Market Data - EQ'!C136-'Market Data - EQ'!C137,IF('Value at Risk'!$C$6=0,('Market Data - EQ'!C136-'Market Data - EQ'!C137)/'Market Data - EQ'!C137,LN('Market Data - EQ'!C136/'Market Data - EQ'!C137)))</f>
        <v>-7.792242424242468E-3</v>
      </c>
      <c r="I136" s="3">
        <f>IF('Value at Risk'!$C$5=0,'Market Data - EQ'!D136-'Market Data - EQ'!D137,IF('Value at Risk'!$C$6=0,('Market Data - EQ'!D136-'Market Data - EQ'!D137)/'Market Data - EQ'!D137,LN('Market Data - EQ'!D136/'Market Data - EQ'!D137)))</f>
        <v>-4.4089751514446059E-3</v>
      </c>
      <c r="J136" s="3">
        <f>IF('Value at Risk'!$C$5=0,'Market Data - EQ'!E136-'Market Data - EQ'!E137,IF('Value at Risk'!$C$6=0,('Market Data - EQ'!E136-'Market Data - EQ'!E137)/'Market Data - EQ'!E137,LN('Market Data - EQ'!E136/'Market Data - EQ'!E137)))</f>
        <v>-4.1676413339311512E-2</v>
      </c>
      <c r="K136" s="3">
        <f>IF('Value at Risk'!$C$5=0,'Market Data - EQ'!F136-'Market Data - EQ'!F137,IF('Value at Risk'!$C$6=0,('Market Data - EQ'!F136-'Market Data - EQ'!F137)/'Market Data - EQ'!F137,LN('Market Data - EQ'!F136/'Market Data - EQ'!F137)))</f>
        <v>-2.3105543431649056E-2</v>
      </c>
      <c r="L136" s="8">
        <f t="shared" si="2"/>
        <v>-1.6181995378879703E-2</v>
      </c>
    </row>
    <row r="137" spans="1:12" x14ac:dyDescent="0.25">
      <c r="A137" s="5">
        <v>43629</v>
      </c>
      <c r="B137" s="4">
        <v>1222.349976</v>
      </c>
      <c r="C137" s="4">
        <v>346.5</v>
      </c>
      <c r="D137" s="4">
        <v>419.60000600000001</v>
      </c>
      <c r="E137" s="4">
        <v>1488.849976</v>
      </c>
      <c r="F137" s="4">
        <v>820.15002400000003</v>
      </c>
      <c r="G137" s="3">
        <f>IF('Value at Risk'!$C$5=0,'Market Data - EQ'!B137-'Market Data - EQ'!B138,IF('Value at Risk'!$C$6=0,('Market Data - EQ'!B137-'Market Data - EQ'!B138)/'Market Data - EQ'!B138,LN('Market Data - EQ'!B137/'Market Data - EQ'!B138)))</f>
        <v>7.2680088578178535E-3</v>
      </c>
      <c r="H137" s="3">
        <f>IF('Value at Risk'!$C$5=0,'Market Data - EQ'!C137-'Market Data - EQ'!C138,IF('Value at Risk'!$C$6=0,('Market Data - EQ'!C137-'Market Data - EQ'!C138)/'Market Data - EQ'!C138,LN('Market Data - EQ'!C137/'Market Data - EQ'!C138)))</f>
        <v>7.2674418604651162E-3</v>
      </c>
      <c r="I137" s="3">
        <f>IF('Value at Risk'!$C$5=0,'Market Data - EQ'!D137-'Market Data - EQ'!D138,IF('Value at Risk'!$C$6=0,('Market Data - EQ'!D137-'Market Data - EQ'!D138)/'Market Data - EQ'!D138,LN('Market Data - EQ'!D137/'Market Data - EQ'!D138)))</f>
        <v>3.8277655502392525E-3</v>
      </c>
      <c r="J137" s="3">
        <f>IF('Value at Risk'!$C$5=0,'Market Data - EQ'!E137-'Market Data - EQ'!E138,IF('Value at Risk'!$C$6=0,('Market Data - EQ'!E137-'Market Data - EQ'!E138)/'Market Data - EQ'!E138,LN('Market Data - EQ'!E137/'Market Data - EQ'!E138)))</f>
        <v>-5.1597287153763029E-2</v>
      </c>
      <c r="K137" s="3">
        <f>IF('Value at Risk'!$C$5=0,'Market Data - EQ'!F137-'Market Data - EQ'!F138,IF('Value at Risk'!$C$6=0,('Market Data - EQ'!F137-'Market Data - EQ'!F138)/'Market Data - EQ'!F138,LN('Market Data - EQ'!F137/'Market Data - EQ'!F138)))</f>
        <v>8.1126373269641613E-3</v>
      </c>
      <c r="L137" s="8">
        <f t="shared" si="2"/>
        <v>-5.0242867116553278E-3</v>
      </c>
    </row>
    <row r="138" spans="1:12" x14ac:dyDescent="0.25">
      <c r="A138" s="5">
        <v>43628</v>
      </c>
      <c r="B138" s="4">
        <v>1213.530029</v>
      </c>
      <c r="C138" s="4">
        <v>344</v>
      </c>
      <c r="D138" s="4">
        <v>418</v>
      </c>
      <c r="E138" s="4">
        <v>1569.849976</v>
      </c>
      <c r="F138" s="4">
        <v>813.54998799999998</v>
      </c>
      <c r="G138" s="3">
        <f>IF('Value at Risk'!$C$5=0,'Market Data - EQ'!B138-'Market Data - EQ'!B139,IF('Value at Risk'!$C$6=0,('Market Data - EQ'!B138-'Market Data - EQ'!B139)/'Market Data - EQ'!B139,LN('Market Data - EQ'!B138/'Market Data - EQ'!B139)))</f>
        <v>-8.7158327291911829E-3</v>
      </c>
      <c r="H138" s="3">
        <f>IF('Value at Risk'!$C$5=0,'Market Data - EQ'!C138-'Market Data - EQ'!C139,IF('Value at Risk'!$C$6=0,('Market Data - EQ'!C138-'Market Data - EQ'!C139)/'Market Data - EQ'!C139,LN('Market Data - EQ'!C138/'Market Data - EQ'!C139)))</f>
        <v>-8.9311608943043568E-3</v>
      </c>
      <c r="I138" s="3">
        <f>IF('Value at Risk'!$C$5=0,'Market Data - EQ'!D138-'Market Data - EQ'!D139,IF('Value at Risk'!$C$6=0,('Market Data - EQ'!D138-'Market Data - EQ'!D139)/'Market Data - EQ'!D139,LN('Market Data - EQ'!D138/'Market Data - EQ'!D139)))</f>
        <v>-7.9506489908534803E-3</v>
      </c>
      <c r="J138" s="3">
        <f>IF('Value at Risk'!$C$5=0,'Market Data - EQ'!E138-'Market Data - EQ'!E139,IF('Value at Risk'!$C$6=0,('Market Data - EQ'!E138-'Market Data - EQ'!E139)/'Market Data - EQ'!E139,LN('Market Data - EQ'!E138/'Market Data - EQ'!E139)))</f>
        <v>-1.3045391872934367E-2</v>
      </c>
      <c r="K138" s="3">
        <f>IF('Value at Risk'!$C$5=0,'Market Data - EQ'!F138-'Market Data - EQ'!F139,IF('Value at Risk'!$C$6=0,('Market Data - EQ'!F138-'Market Data - EQ'!F139)/'Market Data - EQ'!F139,LN('Market Data - EQ'!F138/'Market Data - EQ'!F139)))</f>
        <v>-1.5341188247538365E-3</v>
      </c>
      <c r="L138" s="8">
        <f t="shared" si="2"/>
        <v>-8.0354306624074445E-3</v>
      </c>
    </row>
    <row r="139" spans="1:12" x14ac:dyDescent="0.25">
      <c r="A139" s="5">
        <v>43627</v>
      </c>
      <c r="B139" s="4">
        <v>1224.1999510000001</v>
      </c>
      <c r="C139" s="4">
        <v>347.10000600000001</v>
      </c>
      <c r="D139" s="4">
        <v>421.35000600000001</v>
      </c>
      <c r="E139" s="4">
        <v>1590.599976</v>
      </c>
      <c r="F139" s="4">
        <v>814.79998799999998</v>
      </c>
      <c r="G139" s="3">
        <f>IF('Value at Risk'!$C$5=0,'Market Data - EQ'!B139-'Market Data - EQ'!B140,IF('Value at Risk'!$C$6=0,('Market Data - EQ'!B139-'Market Data - EQ'!B140)/'Market Data - EQ'!B140,LN('Market Data - EQ'!B139/'Market Data - EQ'!B140)))</f>
        <v>3.3603598726733241E-3</v>
      </c>
      <c r="H139" s="3">
        <f>IF('Value at Risk'!$C$5=0,'Market Data - EQ'!C139-'Market Data - EQ'!C140,IF('Value at Risk'!$C$6=0,('Market Data - EQ'!C139-'Market Data - EQ'!C140)/'Market Data - EQ'!C140,LN('Market Data - EQ'!C139/'Market Data - EQ'!C140)))</f>
        <v>8.1324952006679215E-3</v>
      </c>
      <c r="I139" s="3">
        <f>IF('Value at Risk'!$C$5=0,'Market Data - EQ'!D139-'Market Data - EQ'!D140,IF('Value at Risk'!$C$6=0,('Market Data - EQ'!D139-'Market Data - EQ'!D140)/'Market Data - EQ'!D140,LN('Market Data - EQ'!D139/'Market Data - EQ'!D140)))</f>
        <v>1.2617159154763385E-2</v>
      </c>
      <c r="J139" s="3">
        <f>IF('Value at Risk'!$C$5=0,'Market Data - EQ'!E139-'Market Data - EQ'!E140,IF('Value at Risk'!$C$6=0,('Market Data - EQ'!E139-'Market Data - EQ'!E140)/'Market Data - EQ'!E140,LN('Market Data - EQ'!E139/'Market Data - EQ'!E140)))</f>
        <v>2.5102279120642695E-2</v>
      </c>
      <c r="K139" s="3">
        <f>IF('Value at Risk'!$C$5=0,'Market Data - EQ'!F139-'Market Data - EQ'!F140,IF('Value at Risk'!$C$6=0,('Market Data - EQ'!F139-'Market Data - EQ'!F140)/'Market Data - EQ'!F140,LN('Market Data - EQ'!F139/'Market Data - EQ'!F140)))</f>
        <v>7.9833443571814531E-4</v>
      </c>
      <c r="L139" s="8">
        <f t="shared" si="2"/>
        <v>1.0002125556893095E-2</v>
      </c>
    </row>
    <row r="140" spans="1:12" x14ac:dyDescent="0.25">
      <c r="A140" s="5">
        <v>43626</v>
      </c>
      <c r="B140" s="4">
        <v>1220.099976</v>
      </c>
      <c r="C140" s="4">
        <v>344.29998799999998</v>
      </c>
      <c r="D140" s="4">
        <v>416.10000600000001</v>
      </c>
      <c r="E140" s="4">
        <v>1551.650024</v>
      </c>
      <c r="F140" s="4">
        <v>814.15002400000003</v>
      </c>
      <c r="G140" s="3">
        <f>IF('Value at Risk'!$C$5=0,'Market Data - EQ'!B140-'Market Data - EQ'!B141,IF('Value at Risk'!$C$6=0,('Market Data - EQ'!B140-'Market Data - EQ'!B141)/'Market Data - EQ'!B141,LN('Market Data - EQ'!B140/'Market Data - EQ'!B141)))</f>
        <v>-3.039638316207099E-3</v>
      </c>
      <c r="H140" s="3">
        <f>IF('Value at Risk'!$C$5=0,'Market Data - EQ'!C140-'Market Data - EQ'!C141,IF('Value at Risk'!$C$6=0,('Market Data - EQ'!C140-'Market Data - EQ'!C141)/'Market Data - EQ'!C141,LN('Market Data - EQ'!C140/'Market Data - EQ'!C141)))</f>
        <v>6.5779859053817598E-3</v>
      </c>
      <c r="I140" s="3">
        <f>IF('Value at Risk'!$C$5=0,'Market Data - EQ'!D140-'Market Data - EQ'!D141,IF('Value at Risk'!$C$6=0,('Market Data - EQ'!D140-'Market Data - EQ'!D141)/'Market Data - EQ'!D141,LN('Market Data - EQ'!D140/'Market Data - EQ'!D141)))</f>
        <v>-1.2001920134393853E-3</v>
      </c>
      <c r="J140" s="3">
        <f>IF('Value at Risk'!$C$5=0,'Market Data - EQ'!E140-'Market Data - EQ'!E141,IF('Value at Risk'!$C$6=0,('Market Data - EQ'!E140-'Market Data - EQ'!E141)/'Market Data - EQ'!E141,LN('Market Data - EQ'!E140/'Market Data - EQ'!E141)))</f>
        <v>-3.5428876263379365E-4</v>
      </c>
      <c r="K140" s="3">
        <f>IF('Value at Risk'!$C$5=0,'Market Data - EQ'!F140-'Market Data - EQ'!F141,IF('Value at Risk'!$C$6=0,('Market Data - EQ'!F140-'Market Data - EQ'!F141)/'Market Data - EQ'!F141,LN('Market Data - EQ'!F140/'Market Data - EQ'!F141)))</f>
        <v>1.2624407960199042E-2</v>
      </c>
      <c r="L140" s="8">
        <f t="shared" si="2"/>
        <v>2.9216549546601045E-3</v>
      </c>
    </row>
    <row r="141" spans="1:12" x14ac:dyDescent="0.25">
      <c r="A141" s="5">
        <v>43623</v>
      </c>
      <c r="B141" s="4">
        <v>1223.8199460000001</v>
      </c>
      <c r="C141" s="4">
        <v>342.04998799999998</v>
      </c>
      <c r="D141" s="4">
        <v>416.60000600000001</v>
      </c>
      <c r="E141" s="4">
        <v>1552.1999510000001</v>
      </c>
      <c r="F141" s="4">
        <v>804</v>
      </c>
      <c r="G141" s="3">
        <f>IF('Value at Risk'!$C$5=0,'Market Data - EQ'!B141-'Market Data - EQ'!B142,IF('Value at Risk'!$C$6=0,('Market Data - EQ'!B141-'Market Data - EQ'!B142)/'Market Data - EQ'!B142,LN('Market Data - EQ'!B141/'Market Data - EQ'!B142)))</f>
        <v>1.0019057390541271E-2</v>
      </c>
      <c r="H141" s="3">
        <f>IF('Value at Risk'!$C$5=0,'Market Data - EQ'!C141-'Market Data - EQ'!C142,IF('Value at Risk'!$C$6=0,('Market Data - EQ'!C141-'Market Data - EQ'!C142)/'Market Data - EQ'!C142,LN('Market Data - EQ'!C141/'Market Data - EQ'!C142)))</f>
        <v>1.5286417606763129E-2</v>
      </c>
      <c r="I141" s="3">
        <f>IF('Value at Risk'!$C$5=0,'Market Data - EQ'!D141-'Market Data - EQ'!D142,IF('Value at Risk'!$C$6=0,('Market Data - EQ'!D141-'Market Data - EQ'!D142)/'Market Data - EQ'!D142,LN('Market Data - EQ'!D141/'Market Data - EQ'!D142)))</f>
        <v>1.2270728094396209E-2</v>
      </c>
      <c r="J141" s="3">
        <f>IF('Value at Risk'!$C$5=0,'Market Data - EQ'!E141-'Market Data - EQ'!E142,IF('Value at Risk'!$C$6=0,('Market Data - EQ'!E141-'Market Data - EQ'!E142)/'Market Data - EQ'!E142,LN('Market Data - EQ'!E141/'Market Data - EQ'!E142)))</f>
        <v>1.9406906731181995E-2</v>
      </c>
      <c r="K141" s="3">
        <f>IF('Value at Risk'!$C$5=0,'Market Data - EQ'!F141-'Market Data - EQ'!F142,IF('Value at Risk'!$C$6=0,('Market Data - EQ'!F141-'Market Data - EQ'!F142)/'Market Data - EQ'!F142,LN('Market Data - EQ'!F141/'Market Data - EQ'!F142)))</f>
        <v>-4.5809235421925623E-3</v>
      </c>
      <c r="L141" s="8">
        <f t="shared" si="2"/>
        <v>1.0480437256138007E-2</v>
      </c>
    </row>
    <row r="142" spans="1:12" x14ac:dyDescent="0.25">
      <c r="A142" s="5">
        <v>43622</v>
      </c>
      <c r="B142" s="4">
        <v>1211.6800539999999</v>
      </c>
      <c r="C142" s="4">
        <v>336.89999399999999</v>
      </c>
      <c r="D142" s="4">
        <v>411.54998799999998</v>
      </c>
      <c r="E142" s="4">
        <v>1522.650024</v>
      </c>
      <c r="F142" s="4">
        <v>807.70001200000002</v>
      </c>
      <c r="G142" s="3">
        <f>IF('Value at Risk'!$C$5=0,'Market Data - EQ'!B142-'Market Data - EQ'!B143,IF('Value at Risk'!$C$6=0,('Market Data - EQ'!B142-'Market Data - EQ'!B143)/'Market Data - EQ'!B143,LN('Market Data - EQ'!B142/'Market Data - EQ'!B143)))</f>
        <v>-1.1801141554273706E-2</v>
      </c>
      <c r="H142" s="3">
        <f>IF('Value at Risk'!$C$5=0,'Market Data - EQ'!C142-'Market Data - EQ'!C143,IF('Value at Risk'!$C$6=0,('Market Data - EQ'!C142-'Market Data - EQ'!C143)/'Market Data - EQ'!C143,LN('Market Data - EQ'!C142/'Market Data - EQ'!C143)))</f>
        <v>-4.3984109715961006E-2</v>
      </c>
      <c r="I142" s="3">
        <f>IF('Value at Risk'!$C$5=0,'Market Data - EQ'!D142-'Market Data - EQ'!D143,IF('Value at Risk'!$C$6=0,('Market Data - EQ'!D142-'Market Data - EQ'!D143)/'Market Data - EQ'!D143,LN('Market Data - EQ'!D142/'Market Data - EQ'!D143)))</f>
        <v>-1.8014836296614184E-2</v>
      </c>
      <c r="J142" s="3">
        <f>IF('Value at Risk'!$C$5=0,'Market Data - EQ'!E142-'Market Data - EQ'!E143,IF('Value at Risk'!$C$6=0,('Market Data - EQ'!E142-'Market Data - EQ'!E143)/'Market Data - EQ'!E143,LN('Market Data - EQ'!E142/'Market Data - EQ'!E143)))</f>
        <v>-7.042123076923075E-2</v>
      </c>
      <c r="K142" s="3">
        <f>IF('Value at Risk'!$C$5=0,'Market Data - EQ'!F142-'Market Data - EQ'!F143,IF('Value at Risk'!$C$6=0,('Market Data - EQ'!F142-'Market Data - EQ'!F143)/'Market Data - EQ'!F143,LN('Market Data - EQ'!F142/'Market Data - EQ'!F143)))</f>
        <v>-1.8351939985686985E-2</v>
      </c>
      <c r="L142" s="8">
        <f t="shared" si="2"/>
        <v>-3.2514651664353328E-2</v>
      </c>
    </row>
    <row r="143" spans="1:12" x14ac:dyDescent="0.25">
      <c r="A143" s="5">
        <v>43620</v>
      </c>
      <c r="B143" s="4">
        <v>1226.150024</v>
      </c>
      <c r="C143" s="4">
        <v>352.39999399999999</v>
      </c>
      <c r="D143" s="4">
        <v>419.10000600000001</v>
      </c>
      <c r="E143" s="4">
        <v>1638</v>
      </c>
      <c r="F143" s="4">
        <v>822.79998799999998</v>
      </c>
      <c r="G143" s="3">
        <f>IF('Value at Risk'!$C$5=0,'Market Data - EQ'!B143-'Market Data - EQ'!B144,IF('Value at Risk'!$C$6=0,('Market Data - EQ'!B143-'Market Data - EQ'!B144)/'Market Data - EQ'!B144,LN('Market Data - EQ'!B143/'Market Data - EQ'!B144)))</f>
        <v>-1.9535427164350831E-3</v>
      </c>
      <c r="H143" s="3">
        <f>IF('Value at Risk'!$C$5=0,'Market Data - EQ'!C143-'Market Data - EQ'!C144,IF('Value at Risk'!$C$6=0,('Market Data - EQ'!C143-'Market Data - EQ'!C144)/'Market Data - EQ'!C144,LN('Market Data - EQ'!C143/'Market Data - EQ'!C144)))</f>
        <v>-8.580722737463355E-3</v>
      </c>
      <c r="I143" s="3">
        <f>IF('Value at Risk'!$C$5=0,'Market Data - EQ'!D143-'Market Data - EQ'!D144,IF('Value at Risk'!$C$6=0,('Market Data - EQ'!D143-'Market Data - EQ'!D144)/'Market Data - EQ'!D144,LN('Market Data - EQ'!D143/'Market Data - EQ'!D144)))</f>
        <v>-8.9855475382200761E-3</v>
      </c>
      <c r="J143" s="3">
        <f>IF('Value at Risk'!$C$5=0,'Market Data - EQ'!E143-'Market Data - EQ'!E144,IF('Value at Risk'!$C$6=0,('Market Data - EQ'!E143-'Market Data - EQ'!E144)/'Market Data - EQ'!E144,LN('Market Data - EQ'!E143/'Market Data - EQ'!E144)))</f>
        <v>-1.4825744230103851E-2</v>
      </c>
      <c r="K143" s="3">
        <f>IF('Value at Risk'!$C$5=0,'Market Data - EQ'!F143-'Market Data - EQ'!F144,IF('Value at Risk'!$C$6=0,('Market Data - EQ'!F143-'Market Data - EQ'!F144)/'Market Data - EQ'!F144,LN('Market Data - EQ'!F143/'Market Data - EQ'!F144)))</f>
        <v>1.2489957177433068E-2</v>
      </c>
      <c r="L143" s="8">
        <f t="shared" si="2"/>
        <v>-4.3711200089578597E-3</v>
      </c>
    </row>
    <row r="144" spans="1:12" x14ac:dyDescent="0.25">
      <c r="A144" s="5">
        <v>43619</v>
      </c>
      <c r="B144" s="4">
        <v>1228.5500489999999</v>
      </c>
      <c r="C144" s="4">
        <v>355.45001200000002</v>
      </c>
      <c r="D144" s="4">
        <v>422.89999399999999</v>
      </c>
      <c r="E144" s="4">
        <v>1662.650024</v>
      </c>
      <c r="F144" s="4">
        <v>812.65002400000003</v>
      </c>
      <c r="G144" s="3">
        <f>IF('Value at Risk'!$C$5=0,'Market Data - EQ'!B144-'Market Data - EQ'!B145,IF('Value at Risk'!$C$6=0,('Market Data - EQ'!B144-'Market Data - EQ'!B145)/'Market Data - EQ'!B145,LN('Market Data - EQ'!B144/'Market Data - EQ'!B145)))</f>
        <v>1.3086712317608563E-2</v>
      </c>
      <c r="H144" s="3">
        <f>IF('Value at Risk'!$C$5=0,'Market Data - EQ'!C144-'Market Data - EQ'!C145,IF('Value at Risk'!$C$6=0,('Market Data - EQ'!C144-'Market Data - EQ'!C145)/'Market Data - EQ'!C145,LN('Market Data - EQ'!C144/'Market Data - EQ'!C145)))</f>
        <v>8.3688283687943701E-3</v>
      </c>
      <c r="I144" s="3">
        <f>IF('Value at Risk'!$C$5=0,'Market Data - EQ'!D144-'Market Data - EQ'!D145,IF('Value at Risk'!$C$6=0,('Market Data - EQ'!D144-'Market Data - EQ'!D145)/'Market Data - EQ'!D145,LN('Market Data - EQ'!D144/'Market Data - EQ'!D145)))</f>
        <v>-1.8881708221429618E-3</v>
      </c>
      <c r="J144" s="3">
        <f>IF('Value at Risk'!$C$5=0,'Market Data - EQ'!E144-'Market Data - EQ'!E145,IF('Value at Risk'!$C$6=0,('Market Data - EQ'!E144-'Market Data - EQ'!E145)/'Market Data - EQ'!E145,LN('Market Data - EQ'!E144/'Market Data - EQ'!E145)))</f>
        <v>3.5693181459891248E-2</v>
      </c>
      <c r="K144" s="3">
        <f>IF('Value at Risk'!$C$5=0,'Market Data - EQ'!F144-'Market Data - EQ'!F145,IF('Value at Risk'!$C$6=0,('Market Data - EQ'!F144-'Market Data - EQ'!F145)/'Market Data - EQ'!F145,LN('Market Data - EQ'!F144/'Market Data - EQ'!F145)))</f>
        <v>5.381709841124043E-3</v>
      </c>
      <c r="L144" s="8">
        <f t="shared" si="2"/>
        <v>1.2128452233055052E-2</v>
      </c>
    </row>
    <row r="145" spans="1:12" x14ac:dyDescent="0.25">
      <c r="A145" s="5">
        <v>43616</v>
      </c>
      <c r="B145" s="4">
        <v>1212.6800539999999</v>
      </c>
      <c r="C145" s="4">
        <v>352.5</v>
      </c>
      <c r="D145" s="4">
        <v>423.70001200000002</v>
      </c>
      <c r="E145" s="4">
        <v>1605.349976</v>
      </c>
      <c r="F145" s="4">
        <v>808.29998799999998</v>
      </c>
      <c r="G145" s="3">
        <f>IF('Value at Risk'!$C$5=0,'Market Data - EQ'!B145-'Market Data - EQ'!B146,IF('Value at Risk'!$C$6=0,('Market Data - EQ'!B145-'Market Data - EQ'!B146)/'Market Data - EQ'!B146,LN('Market Data - EQ'!B145/'Market Data - EQ'!B146)))</f>
        <v>-5.8207011356144166E-3</v>
      </c>
      <c r="H145" s="3">
        <f>IF('Value at Risk'!$C$5=0,'Market Data - EQ'!C145-'Market Data - EQ'!C146,IF('Value at Risk'!$C$6=0,('Market Data - EQ'!C145-'Market Data - EQ'!C146)/'Market Data - EQ'!C146,LN('Market Data - EQ'!C145/'Market Data - EQ'!C146)))</f>
        <v>-2.9698431215898807E-3</v>
      </c>
      <c r="I145" s="3">
        <f>IF('Value at Risk'!$C$5=0,'Market Data - EQ'!D145-'Market Data - EQ'!D146,IF('Value at Risk'!$C$6=0,('Market Data - EQ'!D145-'Market Data - EQ'!D146)/'Market Data - EQ'!D146,LN('Market Data - EQ'!D145/'Market Data - EQ'!D146)))</f>
        <v>-5.8657905434315186E-3</v>
      </c>
      <c r="J145" s="3">
        <f>IF('Value at Risk'!$C$5=0,'Market Data - EQ'!E145-'Market Data - EQ'!E146,IF('Value at Risk'!$C$6=0,('Market Data - EQ'!E145-'Market Data - EQ'!E146)/'Market Data - EQ'!E146,LN('Market Data - EQ'!E145/'Market Data - EQ'!E146)))</f>
        <v>1.1626411066208377E-2</v>
      </c>
      <c r="K145" s="3">
        <f>IF('Value at Risk'!$C$5=0,'Market Data - EQ'!F145-'Market Data - EQ'!F146,IF('Value at Risk'!$C$6=0,('Market Data - EQ'!F145-'Market Data - EQ'!F146)/'Market Data - EQ'!F146,LN('Market Data - EQ'!F145/'Market Data - EQ'!F146)))</f>
        <v>9.2873507664518724E-4</v>
      </c>
      <c r="L145" s="8">
        <f t="shared" si="2"/>
        <v>-4.2023773155645008E-4</v>
      </c>
    </row>
    <row r="146" spans="1:12" x14ac:dyDescent="0.25">
      <c r="A146" s="5">
        <v>43615</v>
      </c>
      <c r="B146" s="4">
        <v>1219.780029</v>
      </c>
      <c r="C146" s="4">
        <v>353.54998799999998</v>
      </c>
      <c r="D146" s="4">
        <v>426.20001200000002</v>
      </c>
      <c r="E146" s="4">
        <v>1586.900024</v>
      </c>
      <c r="F146" s="4">
        <v>807.54998799999998</v>
      </c>
      <c r="G146" s="3">
        <f>IF('Value at Risk'!$C$5=0,'Market Data - EQ'!B146-'Market Data - EQ'!B147,IF('Value at Risk'!$C$6=0,('Market Data - EQ'!B146-'Market Data - EQ'!B147)/'Market Data - EQ'!B147,LN('Market Data - EQ'!B146/'Market Data - EQ'!B147)))</f>
        <v>9.3757114149611628E-3</v>
      </c>
      <c r="H146" s="3">
        <f>IF('Value at Risk'!$C$5=0,'Market Data - EQ'!C146-'Market Data - EQ'!C147,IF('Value at Risk'!$C$6=0,('Market Data - EQ'!C146-'Market Data - EQ'!C147)/'Market Data - EQ'!C147,LN('Market Data - EQ'!C146/'Market Data - EQ'!C147)))</f>
        <v>1.405419212483908E-2</v>
      </c>
      <c r="I146" s="3">
        <f>IF('Value at Risk'!$C$5=0,'Market Data - EQ'!D146-'Market Data - EQ'!D147,IF('Value at Risk'!$C$6=0,('Market Data - EQ'!D146-'Market Data - EQ'!D147)/'Market Data - EQ'!D147,LN('Market Data - EQ'!D146/'Market Data - EQ'!D147)))</f>
        <v>6.8509900359364773E-3</v>
      </c>
      <c r="J146" s="3">
        <f>IF('Value at Risk'!$C$5=0,'Market Data - EQ'!E146-'Market Data - EQ'!E147,IF('Value at Risk'!$C$6=0,('Market Data - EQ'!E146-'Market Data - EQ'!E147)/'Market Data - EQ'!E147,LN('Market Data - EQ'!E146/'Market Data - EQ'!E147)))</f>
        <v>-1.3520653762785136E-2</v>
      </c>
      <c r="K146" s="3">
        <f>IF('Value at Risk'!$C$5=0,'Market Data - EQ'!F146-'Market Data - EQ'!F147,IF('Value at Risk'!$C$6=0,('Market Data - EQ'!F146-'Market Data - EQ'!F147)/'Market Data - EQ'!F147,LN('Market Data - EQ'!F146/'Market Data - EQ'!F147)))</f>
        <v>3.5416626786380235E-3</v>
      </c>
      <c r="L146" s="8">
        <f t="shared" si="2"/>
        <v>4.0603804983179214E-3</v>
      </c>
    </row>
    <row r="147" spans="1:12" x14ac:dyDescent="0.25">
      <c r="A147" s="5">
        <v>43614</v>
      </c>
      <c r="B147" s="4">
        <v>1208.4499510000001</v>
      </c>
      <c r="C147" s="4">
        <v>348.64999399999999</v>
      </c>
      <c r="D147" s="4">
        <v>423.29998799999998</v>
      </c>
      <c r="E147" s="4">
        <v>1608.650024</v>
      </c>
      <c r="F147" s="4">
        <v>804.70001200000002</v>
      </c>
      <c r="G147" s="3">
        <f>IF('Value at Risk'!$C$5=0,'Market Data - EQ'!B147-'Market Data - EQ'!B148,IF('Value at Risk'!$C$6=0,('Market Data - EQ'!B147-'Market Data - EQ'!B148)/'Market Data - EQ'!B148,LN('Market Data - EQ'!B147/'Market Data - EQ'!B148)))</f>
        <v>2.8969042873326395E-4</v>
      </c>
      <c r="H147" s="3">
        <f>IF('Value at Risk'!$C$5=0,'Market Data - EQ'!C147-'Market Data - EQ'!C148,IF('Value at Risk'!$C$6=0,('Market Data - EQ'!C147-'Market Data - EQ'!C148)/'Market Data - EQ'!C148,LN('Market Data - EQ'!C147/'Market Data - EQ'!C148)))</f>
        <v>-3.1662253520197289E-2</v>
      </c>
      <c r="I147" s="3">
        <f>IF('Value at Risk'!$C$5=0,'Market Data - EQ'!D147-'Market Data - EQ'!D148,IF('Value at Risk'!$C$6=0,('Market Data - EQ'!D147-'Market Data - EQ'!D148)/'Market Data - EQ'!D148,LN('Market Data - EQ'!D147/'Market Data - EQ'!D148)))</f>
        <v>-2.5328114906602302E-2</v>
      </c>
      <c r="J147" s="3">
        <f>IF('Value at Risk'!$C$5=0,'Market Data - EQ'!E147-'Market Data - EQ'!E148,IF('Value at Risk'!$C$6=0,('Market Data - EQ'!E147-'Market Data - EQ'!E148)/'Market Data - EQ'!E148,LN('Market Data - EQ'!E147/'Market Data - EQ'!E148)))</f>
        <v>-6.7915906751469905E-3</v>
      </c>
      <c r="K147" s="3">
        <f>IF('Value at Risk'!$C$5=0,'Market Data - EQ'!F147-'Market Data - EQ'!F148,IF('Value at Risk'!$C$6=0,('Market Data - EQ'!F147-'Market Data - EQ'!F148)/'Market Data - EQ'!F148,LN('Market Data - EQ'!F147/'Market Data - EQ'!F148)))</f>
        <v>-4.5769568161220329E-3</v>
      </c>
      <c r="L147" s="8">
        <f t="shared" si="2"/>
        <v>-1.3613845097867072E-2</v>
      </c>
    </row>
    <row r="148" spans="1:12" x14ac:dyDescent="0.25">
      <c r="A148" s="5">
        <v>43613</v>
      </c>
      <c r="B148" s="4">
        <v>1208.099976</v>
      </c>
      <c r="C148" s="4">
        <v>360.04998799999998</v>
      </c>
      <c r="D148" s="4">
        <v>434.29998799999998</v>
      </c>
      <c r="E148" s="4">
        <v>1619.650024</v>
      </c>
      <c r="F148" s="4">
        <v>808.40002400000003</v>
      </c>
      <c r="G148" s="3">
        <f>IF('Value at Risk'!$C$5=0,'Market Data - EQ'!B148-'Market Data - EQ'!B149,IF('Value at Risk'!$C$6=0,('Market Data - EQ'!B148-'Market Data - EQ'!B149)/'Market Data - EQ'!B149,LN('Market Data - EQ'!B148/'Market Data - EQ'!B149)))</f>
        <v>3.2552623563054323E-3</v>
      </c>
      <c r="H148" s="3">
        <f>IF('Value at Risk'!$C$5=0,'Market Data - EQ'!C148-'Market Data - EQ'!C149,IF('Value at Risk'!$C$6=0,('Market Data - EQ'!C148-'Market Data - EQ'!C149)/'Market Data - EQ'!C149,LN('Market Data - EQ'!C148/'Market Data - EQ'!C149)))</f>
        <v>-4.5618577419345796E-3</v>
      </c>
      <c r="I148" s="3">
        <f>IF('Value at Risk'!$C$5=0,'Market Data - EQ'!D148-'Market Data - EQ'!D149,IF('Value at Risk'!$C$6=0,('Market Data - EQ'!D148-'Market Data - EQ'!D149)/'Market Data - EQ'!D149,LN('Market Data - EQ'!D148/'Market Data - EQ'!D149)))</f>
        <v>-2.7554810562572104E-3</v>
      </c>
      <c r="J148" s="3">
        <f>IF('Value at Risk'!$C$5=0,'Market Data - EQ'!E148-'Market Data - EQ'!E149,IF('Value at Risk'!$C$6=0,('Market Data - EQ'!E148-'Market Data - EQ'!E149)/'Market Data - EQ'!E149,LN('Market Data - EQ'!E148/'Market Data - EQ'!E149)))</f>
        <v>4.2472561953649131E-3</v>
      </c>
      <c r="K148" s="3">
        <f>IF('Value at Risk'!$C$5=0,'Market Data - EQ'!F148-'Market Data - EQ'!F149,IF('Value at Risk'!$C$6=0,('Market Data - EQ'!F148-'Market Data - EQ'!F149)/'Market Data - EQ'!F149,LN('Market Data - EQ'!F148/'Market Data - EQ'!F149)))</f>
        <v>-6.7575867278755596E-3</v>
      </c>
      <c r="L148" s="8">
        <f t="shared" si="2"/>
        <v>-1.3144813948794008E-3</v>
      </c>
    </row>
    <row r="149" spans="1:12" x14ac:dyDescent="0.25">
      <c r="A149" s="5">
        <v>43612</v>
      </c>
      <c r="B149" s="4">
        <v>1204.1800539999999</v>
      </c>
      <c r="C149" s="4">
        <v>361.70001200000002</v>
      </c>
      <c r="D149" s="4">
        <v>435.5</v>
      </c>
      <c r="E149" s="4">
        <v>1612.8000489999999</v>
      </c>
      <c r="F149" s="4">
        <v>813.90002400000003</v>
      </c>
      <c r="G149" s="3">
        <f>IF('Value at Risk'!$C$5=0,'Market Data - EQ'!B149-'Market Data - EQ'!B150,IF('Value at Risk'!$C$6=0,('Market Data - EQ'!B149-'Market Data - EQ'!B150)/'Market Data - EQ'!B150,LN('Market Data - EQ'!B149/'Market Data - EQ'!B150)))</f>
        <v>1.4747024643257382E-2</v>
      </c>
      <c r="H149" s="3">
        <f>IF('Value at Risk'!$C$5=0,'Market Data - EQ'!C149-'Market Data - EQ'!C150,IF('Value at Risk'!$C$6=0,('Market Data - EQ'!C149-'Market Data - EQ'!C150)/'Market Data - EQ'!C150,LN('Market Data - EQ'!C149/'Market Data - EQ'!C150)))</f>
        <v>1.786972250677268E-2</v>
      </c>
      <c r="I149" s="3">
        <f>IF('Value at Risk'!$C$5=0,'Market Data - EQ'!D149-'Market Data - EQ'!D150,IF('Value at Risk'!$C$6=0,('Market Data - EQ'!D149-'Market Data - EQ'!D150)/'Market Data - EQ'!D150,LN('Market Data - EQ'!D149/'Market Data - EQ'!D150)))</f>
        <v>8.6855819339895779E-3</v>
      </c>
      <c r="J149" s="3">
        <f>IF('Value at Risk'!$C$5=0,'Market Data - EQ'!E149-'Market Data - EQ'!E150,IF('Value at Risk'!$C$6=0,('Market Data - EQ'!E149-'Market Data - EQ'!E150)/'Market Data - EQ'!E150,LN('Market Data - EQ'!E149/'Market Data - EQ'!E150)))</f>
        <v>-2.189336798748211E-2</v>
      </c>
      <c r="K149" s="3">
        <f>IF('Value at Risk'!$C$5=0,'Market Data - EQ'!F149-'Market Data - EQ'!F150,IF('Value at Risk'!$C$6=0,('Market Data - EQ'!F149-'Market Data - EQ'!F150)/'Market Data - EQ'!F150,LN('Market Data - EQ'!F149/'Market Data - EQ'!F150)))</f>
        <v>2.6096837729246043E-2</v>
      </c>
      <c r="L149" s="8">
        <f t="shared" si="2"/>
        <v>9.1011597651567133E-3</v>
      </c>
    </row>
    <row r="150" spans="1:12" x14ac:dyDescent="0.25">
      <c r="A150" s="5">
        <v>43609</v>
      </c>
      <c r="B150" s="4">
        <v>1186.6800539999999</v>
      </c>
      <c r="C150" s="4">
        <v>355.35000600000001</v>
      </c>
      <c r="D150" s="4">
        <v>431.75</v>
      </c>
      <c r="E150" s="4">
        <v>1648.900024</v>
      </c>
      <c r="F150" s="4">
        <v>793.20001200000002</v>
      </c>
      <c r="G150" s="3">
        <f>IF('Value at Risk'!$C$5=0,'Market Data - EQ'!B150-'Market Data - EQ'!B151,IF('Value at Risk'!$C$6=0,('Market Data - EQ'!B150-'Market Data - EQ'!B151)/'Market Data - EQ'!B151,LN('Market Data - EQ'!B150/'Market Data - EQ'!B151)))</f>
        <v>1.7692212283419734E-2</v>
      </c>
      <c r="H150" s="3">
        <f>IF('Value at Risk'!$C$5=0,'Market Data - EQ'!C150-'Market Data - EQ'!C151,IF('Value at Risk'!$C$6=0,('Market Data - EQ'!C150-'Market Data - EQ'!C151)/'Market Data - EQ'!C151,LN('Market Data - EQ'!C150/'Market Data - EQ'!C151)))</f>
        <v>3.8427801107148975E-2</v>
      </c>
      <c r="I150" s="3">
        <f>IF('Value at Risk'!$C$5=0,'Market Data - EQ'!D150-'Market Data - EQ'!D151,IF('Value at Risk'!$C$6=0,('Market Data - EQ'!D150-'Market Data - EQ'!D151)/'Market Data - EQ'!D151,LN('Market Data - EQ'!D150/'Market Data - EQ'!D151)))</f>
        <v>5.0870131908918585E-2</v>
      </c>
      <c r="J150" s="3">
        <f>IF('Value at Risk'!$C$5=0,'Market Data - EQ'!E150-'Market Data - EQ'!E151,IF('Value at Risk'!$C$6=0,('Market Data - EQ'!E150-'Market Data - EQ'!E151)/'Market Data - EQ'!E151,LN('Market Data - EQ'!E150/'Market Data - EQ'!E151)))</f>
        <v>3.1368271462079766E-2</v>
      </c>
      <c r="K150" s="3">
        <f>IF('Value at Risk'!$C$5=0,'Market Data - EQ'!F150-'Market Data - EQ'!F151,IF('Value at Risk'!$C$6=0,('Market Data - EQ'!F150-'Market Data - EQ'!F151)/'Market Data - EQ'!F151,LN('Market Data - EQ'!F150/'Market Data - EQ'!F151)))</f>
        <v>2.1638314632509575E-2</v>
      </c>
      <c r="L150" s="8">
        <f t="shared" si="2"/>
        <v>3.199934627881533E-2</v>
      </c>
    </row>
    <row r="151" spans="1:12" x14ac:dyDescent="0.25">
      <c r="A151" s="5">
        <v>43608</v>
      </c>
      <c r="B151" s="4">
        <v>1166.0500489999999</v>
      </c>
      <c r="C151" s="4">
        <v>342.20001200000002</v>
      </c>
      <c r="D151" s="4">
        <v>410.85000600000001</v>
      </c>
      <c r="E151" s="4">
        <v>1598.75</v>
      </c>
      <c r="F151" s="4">
        <v>776.40002400000003</v>
      </c>
      <c r="G151" s="3">
        <f>IF('Value at Risk'!$C$5=0,'Market Data - EQ'!B151-'Market Data - EQ'!B152,IF('Value at Risk'!$C$6=0,('Market Data - EQ'!B151-'Market Data - EQ'!B152)/'Market Data - EQ'!B152,LN('Market Data - EQ'!B151/'Market Data - EQ'!B152)))</f>
        <v>-3.0618146321253415E-2</v>
      </c>
      <c r="H151" s="3">
        <f>IF('Value at Risk'!$C$5=0,'Market Data - EQ'!C151-'Market Data - EQ'!C152,IF('Value at Risk'!$C$6=0,('Market Data - EQ'!C151-'Market Data - EQ'!C152)/'Market Data - EQ'!C152,LN('Market Data - EQ'!C151/'Market Data - EQ'!C152)))</f>
        <v>3.2248782780731101E-3</v>
      </c>
      <c r="I151" s="3">
        <f>IF('Value at Risk'!$C$5=0,'Market Data - EQ'!D151-'Market Data - EQ'!D152,IF('Value at Risk'!$C$6=0,('Market Data - EQ'!D151-'Market Data - EQ'!D152)/'Market Data - EQ'!D152,LN('Market Data - EQ'!D151/'Market Data - EQ'!D152)))</f>
        <v>1.3568520830366042E-2</v>
      </c>
      <c r="J151" s="3">
        <f>IF('Value at Risk'!$C$5=0,'Market Data - EQ'!E151-'Market Data - EQ'!E152,IF('Value at Risk'!$C$6=0,('Market Data - EQ'!E151-'Market Data - EQ'!E152)/'Market Data - EQ'!E152,LN('Market Data - EQ'!E151/'Market Data - EQ'!E152)))</f>
        <v>5.2570922864110747E-2</v>
      </c>
      <c r="K151" s="3">
        <f>IF('Value at Risk'!$C$5=0,'Market Data - EQ'!F151-'Market Data - EQ'!F152,IF('Value at Risk'!$C$6=0,('Market Data - EQ'!F151-'Market Data - EQ'!F152)/'Market Data - EQ'!F152,LN('Market Data - EQ'!F151/'Market Data - EQ'!F152)))</f>
        <v>-3.52948715304153E-3</v>
      </c>
      <c r="L151" s="8">
        <f t="shared" si="2"/>
        <v>7.043337699650991E-3</v>
      </c>
    </row>
    <row r="152" spans="1:12" x14ac:dyDescent="0.25">
      <c r="A152" s="5">
        <v>43607</v>
      </c>
      <c r="B152" s="4">
        <v>1202.880005</v>
      </c>
      <c r="C152" s="4">
        <v>341.10000600000001</v>
      </c>
      <c r="D152" s="4">
        <v>405.35000600000001</v>
      </c>
      <c r="E152" s="4">
        <v>1518.900024</v>
      </c>
      <c r="F152" s="4">
        <v>779.15002400000003</v>
      </c>
      <c r="G152" s="3">
        <f>IF('Value at Risk'!$C$5=0,'Market Data - EQ'!B152-'Market Data - EQ'!B153,IF('Value at Risk'!$C$6=0,('Market Data - EQ'!B152-'Market Data - EQ'!B153)/'Market Data - EQ'!B153,LN('Market Data - EQ'!B152/'Market Data - EQ'!B153)))</f>
        <v>8.5703625291748832E-4</v>
      </c>
      <c r="H152" s="3">
        <f>IF('Value at Risk'!$C$5=0,'Market Data - EQ'!C152-'Market Data - EQ'!C153,IF('Value at Risk'!$C$6=0,('Market Data - EQ'!C152-'Market Data - EQ'!C153)/'Market Data - EQ'!C153,LN('Market Data - EQ'!C152/'Market Data - EQ'!C153)))</f>
        <v>1.0517014149619886E-2</v>
      </c>
      <c r="I152" s="3">
        <f>IF('Value at Risk'!$C$5=0,'Market Data - EQ'!D152-'Market Data - EQ'!D153,IF('Value at Risk'!$C$6=0,('Market Data - EQ'!D152-'Market Data - EQ'!D153)/'Market Data - EQ'!D153,LN('Market Data - EQ'!D152/'Market Data - EQ'!D153)))</f>
        <v>1.2995157011048251E-2</v>
      </c>
      <c r="J152" s="3">
        <f>IF('Value at Risk'!$C$5=0,'Market Data - EQ'!E152-'Market Data - EQ'!E153,IF('Value at Risk'!$C$6=0,('Market Data - EQ'!E152-'Market Data - EQ'!E153)/'Market Data - EQ'!E153,LN('Market Data - EQ'!E152/'Market Data - EQ'!E153)))</f>
        <v>4.9145241927128325E-2</v>
      </c>
      <c r="K152" s="3">
        <f>IF('Value at Risk'!$C$5=0,'Market Data - EQ'!F152-'Market Data - EQ'!F153,IF('Value at Risk'!$C$6=0,('Market Data - EQ'!F152-'Market Data - EQ'!F153)/'Market Data - EQ'!F153,LN('Market Data - EQ'!F152/'Market Data - EQ'!F153)))</f>
        <v>8.0212328142120724E-3</v>
      </c>
      <c r="L152" s="8">
        <f t="shared" si="2"/>
        <v>1.6307136430985206E-2</v>
      </c>
    </row>
    <row r="153" spans="1:12" x14ac:dyDescent="0.25">
      <c r="A153" s="5">
        <v>43606</v>
      </c>
      <c r="B153" s="4">
        <v>1201.849976</v>
      </c>
      <c r="C153" s="4">
        <v>337.54998799999998</v>
      </c>
      <c r="D153" s="4">
        <v>400.14999399999999</v>
      </c>
      <c r="E153" s="4">
        <v>1447.75</v>
      </c>
      <c r="F153" s="4">
        <v>772.95001200000002</v>
      </c>
      <c r="G153" s="3">
        <f>IF('Value at Risk'!$C$5=0,'Market Data - EQ'!B153-'Market Data - EQ'!B154,IF('Value at Risk'!$C$6=0,('Market Data - EQ'!B153-'Market Data - EQ'!B154)/'Market Data - EQ'!B154,LN('Market Data - EQ'!B153/'Market Data - EQ'!B154)))</f>
        <v>-1.1782858921973373E-2</v>
      </c>
      <c r="H153" s="3">
        <f>IF('Value at Risk'!$C$5=0,'Market Data - EQ'!C153-'Market Data - EQ'!C154,IF('Value at Risk'!$C$6=0,('Market Data - EQ'!C153-'Market Data - EQ'!C154)/'Market Data - EQ'!C154,LN('Market Data - EQ'!C153/'Market Data - EQ'!C154)))</f>
        <v>-2.0742743693319136E-2</v>
      </c>
      <c r="I153" s="3">
        <f>IF('Value at Risk'!$C$5=0,'Market Data - EQ'!D153-'Market Data - EQ'!D154,IF('Value at Risk'!$C$6=0,('Market Data - EQ'!D153-'Market Data - EQ'!D154)/'Market Data - EQ'!D154,LN('Market Data - EQ'!D153/'Market Data - EQ'!D154)))</f>
        <v>-1.8518562123564574E-2</v>
      </c>
      <c r="J153" s="3">
        <f>IF('Value at Risk'!$C$5=0,'Market Data - EQ'!E153-'Market Data - EQ'!E154,IF('Value at Risk'!$C$6=0,('Market Data - EQ'!E153-'Market Data - EQ'!E154)/'Market Data - EQ'!E154,LN('Market Data - EQ'!E153/'Market Data - EQ'!E154)))</f>
        <v>-3.1378599168309401E-2</v>
      </c>
      <c r="K153" s="3">
        <f>IF('Value at Risk'!$C$5=0,'Market Data - EQ'!F153-'Market Data - EQ'!F154,IF('Value at Risk'!$C$6=0,('Market Data - EQ'!F153-'Market Data - EQ'!F154)/'Market Data - EQ'!F154,LN('Market Data - EQ'!F153/'Market Data - EQ'!F154)))</f>
        <v>-1.2078235825821007E-2</v>
      </c>
      <c r="L153" s="8">
        <f t="shared" si="2"/>
        <v>-1.8900199946597498E-2</v>
      </c>
    </row>
    <row r="154" spans="1:12" x14ac:dyDescent="0.25">
      <c r="A154" s="5">
        <v>43605</v>
      </c>
      <c r="B154" s="4">
        <v>1216.1800539999999</v>
      </c>
      <c r="C154" s="4">
        <v>344.70001200000002</v>
      </c>
      <c r="D154" s="4">
        <v>407.70001200000002</v>
      </c>
      <c r="E154" s="4">
        <v>1494.650024</v>
      </c>
      <c r="F154" s="4">
        <v>782.40002400000003</v>
      </c>
      <c r="G154" s="3">
        <f>IF('Value at Risk'!$C$5=0,'Market Data - EQ'!B154-'Market Data - EQ'!B155,IF('Value at Risk'!$C$6=0,('Market Data - EQ'!B154-'Market Data - EQ'!B155)/'Market Data - EQ'!B155,LN('Market Data - EQ'!B154/'Market Data - EQ'!B155)))</f>
        <v>2.9744721681985203E-2</v>
      </c>
      <c r="H154" s="3">
        <f>IF('Value at Risk'!$C$5=0,'Market Data - EQ'!C154-'Market Data - EQ'!C155,IF('Value at Risk'!$C$6=0,('Market Data - EQ'!C154-'Market Data - EQ'!C155)/'Market Data - EQ'!C155,LN('Market Data - EQ'!C154/'Market Data - EQ'!C155)))</f>
        <v>7.9718126859827765E-2</v>
      </c>
      <c r="I154" s="3">
        <f>IF('Value at Risk'!$C$5=0,'Market Data - EQ'!D154-'Market Data - EQ'!D155,IF('Value at Risk'!$C$6=0,('Market Data - EQ'!D154-'Market Data - EQ'!D155)/'Market Data - EQ'!D155,LN('Market Data - EQ'!D154/'Market Data - EQ'!D155)))</f>
        <v>4.6189375021112394E-2</v>
      </c>
      <c r="J154" s="3">
        <f>IF('Value at Risk'!$C$5=0,'Market Data - EQ'!E154-'Market Data - EQ'!E155,IF('Value at Risk'!$C$6=0,('Market Data - EQ'!E154-'Market Data - EQ'!E155)/'Market Data - EQ'!E155,LN('Market Data - EQ'!E154/'Market Data - EQ'!E155)))</f>
        <v>8.8165680666798973E-2</v>
      </c>
      <c r="K154" s="3">
        <f>IF('Value at Risk'!$C$5=0,'Market Data - EQ'!F154-'Market Data - EQ'!F155,IF('Value at Risk'!$C$6=0,('Market Data - EQ'!F154-'Market Data - EQ'!F155)/'Market Data - EQ'!F155,LN('Market Data - EQ'!F154/'Market Data - EQ'!F155)))</f>
        <v>4.4662542845382867E-2</v>
      </c>
      <c r="L154" s="8">
        <f t="shared" si="2"/>
        <v>5.7696089415021433E-2</v>
      </c>
    </row>
    <row r="155" spans="1:12" x14ac:dyDescent="0.25">
      <c r="A155" s="5">
        <v>43602</v>
      </c>
      <c r="B155" s="4">
        <v>1181.0500489999999</v>
      </c>
      <c r="C155" s="4">
        <v>319.25</v>
      </c>
      <c r="D155" s="4">
        <v>389.70001200000002</v>
      </c>
      <c r="E155" s="4">
        <v>1373.5500489999999</v>
      </c>
      <c r="F155" s="4">
        <v>748.95001200000002</v>
      </c>
      <c r="G155" s="3">
        <f>IF('Value at Risk'!$C$5=0,'Market Data - EQ'!B155-'Market Data - EQ'!B156,IF('Value at Risk'!$C$6=0,('Market Data - EQ'!B155-'Market Data - EQ'!B156)/'Market Data - EQ'!B156,LN('Market Data - EQ'!B155/'Market Data - EQ'!B156)))</f>
        <v>2.2270976182038382E-2</v>
      </c>
      <c r="H155" s="3">
        <f>IF('Value at Risk'!$C$5=0,'Market Data - EQ'!C155-'Market Data - EQ'!C156,IF('Value at Risk'!$C$6=0,('Market Data - EQ'!C155-'Market Data - EQ'!C156)/'Market Data - EQ'!C156,LN('Market Data - EQ'!C155/'Market Data - EQ'!C156)))</f>
        <v>1.1084718923198733E-2</v>
      </c>
      <c r="I155" s="3">
        <f>IF('Value at Risk'!$C$5=0,'Market Data - EQ'!D155-'Market Data - EQ'!D156,IF('Value at Risk'!$C$6=0,('Market Data - EQ'!D155-'Market Data - EQ'!D156)/'Market Data - EQ'!D156,LN('Market Data - EQ'!D155/'Market Data - EQ'!D156)))</f>
        <v>1.8823560784313766E-2</v>
      </c>
      <c r="J155" s="3">
        <f>IF('Value at Risk'!$C$5=0,'Market Data - EQ'!E155-'Market Data - EQ'!E156,IF('Value at Risk'!$C$6=0,('Market Data - EQ'!E155-'Market Data - EQ'!E156)/'Market Data - EQ'!E156,LN('Market Data - EQ'!E155/'Market Data - EQ'!E156)))</f>
        <v>1.1301795430560937E-2</v>
      </c>
      <c r="K155" s="3">
        <f>IF('Value at Risk'!$C$5=0,'Market Data - EQ'!F155-'Market Data - EQ'!F156,IF('Value at Risk'!$C$6=0,('Market Data - EQ'!F155-'Market Data - EQ'!F156)/'Market Data - EQ'!F156,LN('Market Data - EQ'!F155/'Market Data - EQ'!F156)))</f>
        <v>2.3365493695117708E-2</v>
      </c>
      <c r="L155" s="8">
        <f t="shared" si="2"/>
        <v>1.7369309003045907E-2</v>
      </c>
    </row>
    <row r="156" spans="1:12" x14ac:dyDescent="0.25">
      <c r="A156" s="5">
        <v>43601</v>
      </c>
      <c r="B156" s="4">
        <v>1155.3199460000001</v>
      </c>
      <c r="C156" s="4">
        <v>315.75</v>
      </c>
      <c r="D156" s="4">
        <v>382.5</v>
      </c>
      <c r="E156" s="4">
        <v>1358.1999510000001</v>
      </c>
      <c r="F156" s="4">
        <v>731.84997599999997</v>
      </c>
      <c r="G156" s="3">
        <f>IF('Value at Risk'!$C$5=0,'Market Data - EQ'!B156-'Market Data - EQ'!B157,IF('Value at Risk'!$C$6=0,('Market Data - EQ'!B156-'Market Data - EQ'!B157)/'Market Data - EQ'!B157,LN('Market Data - EQ'!B156/'Market Data - EQ'!B157)))</f>
        <v>1.0469209123419008E-2</v>
      </c>
      <c r="H156" s="3">
        <f>IF('Value at Risk'!$C$5=0,'Market Data - EQ'!C156-'Market Data - EQ'!C157,IF('Value at Risk'!$C$6=0,('Market Data - EQ'!C156-'Market Data - EQ'!C157)/'Market Data - EQ'!C157,LN('Market Data - EQ'!C156/'Market Data - EQ'!C157)))</f>
        <v>1.1694950111599781E-2</v>
      </c>
      <c r="I156" s="3">
        <f>IF('Value at Risk'!$C$5=0,'Market Data - EQ'!D156-'Market Data - EQ'!D157,IF('Value at Risk'!$C$6=0,('Market Data - EQ'!D156-'Market Data - EQ'!D157)/'Market Data - EQ'!D157,LN('Market Data - EQ'!D156/'Market Data - EQ'!D157)))</f>
        <v>1.4454348689702161E-2</v>
      </c>
      <c r="J156" s="3">
        <f>IF('Value at Risk'!$C$5=0,'Market Data - EQ'!E156-'Market Data - EQ'!E157,IF('Value at Risk'!$C$6=0,('Market Data - EQ'!E156-'Market Data - EQ'!E157)/'Market Data - EQ'!E157,LN('Market Data - EQ'!E156/'Market Data - EQ'!E157)))</f>
        <v>-1.5083429296591693E-2</v>
      </c>
      <c r="K156" s="3">
        <f>IF('Value at Risk'!$C$5=0,'Market Data - EQ'!F156-'Market Data - EQ'!F157,IF('Value at Risk'!$C$6=0,('Market Data - EQ'!F156-'Market Data - EQ'!F157)/'Market Data - EQ'!F157,LN('Market Data - EQ'!F156/'Market Data - EQ'!F157)))</f>
        <v>1.3712810908575696E-2</v>
      </c>
      <c r="L156" s="8">
        <f t="shared" si="2"/>
        <v>7.0495779073409901E-3</v>
      </c>
    </row>
    <row r="157" spans="1:12" x14ac:dyDescent="0.25">
      <c r="A157" s="5">
        <v>43600</v>
      </c>
      <c r="B157" s="4">
        <v>1143.349976</v>
      </c>
      <c r="C157" s="4">
        <v>312.10000600000001</v>
      </c>
      <c r="D157" s="4">
        <v>377.04998799999998</v>
      </c>
      <c r="E157" s="4">
        <v>1379</v>
      </c>
      <c r="F157" s="4">
        <v>721.95001200000002</v>
      </c>
      <c r="G157" s="3">
        <f>IF('Value at Risk'!$C$5=0,'Market Data - EQ'!B157-'Market Data - EQ'!B158,IF('Value at Risk'!$C$6=0,('Market Data - EQ'!B157-'Market Data - EQ'!B158)/'Market Data - EQ'!B158,LN('Market Data - EQ'!B157/'Market Data - EQ'!B158)))</f>
        <v>-5.2447661672226935E-4</v>
      </c>
      <c r="H157" s="3">
        <f>IF('Value at Risk'!$C$5=0,'Market Data - EQ'!C157-'Market Data - EQ'!C158,IF('Value at Risk'!$C$6=0,('Market Data - EQ'!C157-'Market Data - EQ'!C158)/'Market Data - EQ'!C158,LN('Market Data - EQ'!C157/'Market Data - EQ'!C158)))</f>
        <v>-8.1042048263950863E-3</v>
      </c>
      <c r="I157" s="3">
        <f>IF('Value at Risk'!$C$5=0,'Market Data - EQ'!D157-'Market Data - EQ'!D158,IF('Value at Risk'!$C$6=0,('Market Data - EQ'!D157-'Market Data - EQ'!D158)/'Market Data - EQ'!D158,LN('Market Data - EQ'!D157/'Market Data - EQ'!D158)))</f>
        <v>-8.8065353649821754E-3</v>
      </c>
      <c r="J157" s="3">
        <f>IF('Value at Risk'!$C$5=0,'Market Data - EQ'!E157-'Market Data - EQ'!E158,IF('Value at Risk'!$C$6=0,('Market Data - EQ'!E157-'Market Data - EQ'!E158)/'Market Data - EQ'!E158,LN('Market Data - EQ'!E157/'Market Data - EQ'!E158)))</f>
        <v>-3.7481645031479487E-2</v>
      </c>
      <c r="K157" s="3">
        <f>IF('Value at Risk'!$C$5=0,'Market Data - EQ'!F157-'Market Data - EQ'!F158,IF('Value at Risk'!$C$6=0,('Market Data - EQ'!F157-'Market Data - EQ'!F158)/'Market Data - EQ'!F158,LN('Market Data - EQ'!F157/'Market Data - EQ'!F158)))</f>
        <v>-1.285289438499955E-2</v>
      </c>
      <c r="L157" s="8">
        <f t="shared" si="2"/>
        <v>-1.3553951244915713E-2</v>
      </c>
    </row>
    <row r="158" spans="1:12" x14ac:dyDescent="0.25">
      <c r="A158" s="5">
        <v>43599</v>
      </c>
      <c r="B158" s="4">
        <v>1143.9499510000001</v>
      </c>
      <c r="C158" s="4">
        <v>314.64999399999999</v>
      </c>
      <c r="D158" s="4">
        <v>380.39999399999999</v>
      </c>
      <c r="E158" s="4">
        <v>1432.6999510000001</v>
      </c>
      <c r="F158" s="4">
        <v>731.34997599999997</v>
      </c>
      <c r="G158" s="3">
        <f>IF('Value at Risk'!$C$5=0,'Market Data - EQ'!B158-'Market Data - EQ'!B159,IF('Value at Risk'!$C$6=0,('Market Data - EQ'!B158-'Market Data - EQ'!B159)/'Market Data - EQ'!B159,LN('Market Data - EQ'!B158/'Market Data - EQ'!B159)))</f>
        <v>3.0602921243860353E-4</v>
      </c>
      <c r="H158" s="3">
        <f>IF('Value at Risk'!$C$5=0,'Market Data - EQ'!C158-'Market Data - EQ'!C159,IF('Value at Risk'!$C$6=0,('Market Data - EQ'!C158-'Market Data - EQ'!C159)/'Market Data - EQ'!C159,LN('Market Data - EQ'!C158/'Market Data - EQ'!C159)))</f>
        <v>2.5252525746220771E-2</v>
      </c>
      <c r="I158" s="3">
        <f>IF('Value at Risk'!$C$5=0,'Market Data - EQ'!D158-'Market Data - EQ'!D159,IF('Value at Risk'!$C$6=0,('Market Data - EQ'!D158-'Market Data - EQ'!D159)/'Market Data - EQ'!D159,LN('Market Data - EQ'!D158/'Market Data - EQ'!D159)))</f>
        <v>1.0895578343733585E-2</v>
      </c>
      <c r="J158" s="3">
        <f>IF('Value at Risk'!$C$5=0,'Market Data - EQ'!E158-'Market Data - EQ'!E159,IF('Value at Risk'!$C$6=0,('Market Data - EQ'!E158-'Market Data - EQ'!E159)/'Market Data - EQ'!E159,LN('Market Data - EQ'!E158/'Market Data - EQ'!E159)))</f>
        <v>2.827811714230415E-2</v>
      </c>
      <c r="K158" s="3">
        <f>IF('Value at Risk'!$C$5=0,'Market Data - EQ'!F158-'Market Data - EQ'!F159,IF('Value at Risk'!$C$6=0,('Market Data - EQ'!F158-'Market Data - EQ'!F159)/'Market Data - EQ'!F159,LN('Market Data - EQ'!F158/'Market Data - EQ'!F159)))</f>
        <v>-1.0244502453036551E-3</v>
      </c>
      <c r="L158" s="8">
        <f t="shared" si="2"/>
        <v>1.2741560039878691E-2</v>
      </c>
    </row>
    <row r="159" spans="1:12" x14ac:dyDescent="0.25">
      <c r="A159" s="5">
        <v>43598</v>
      </c>
      <c r="B159" s="4">
        <v>1143.599976</v>
      </c>
      <c r="C159" s="4">
        <v>306.89999399999999</v>
      </c>
      <c r="D159" s="4">
        <v>376.29998799999998</v>
      </c>
      <c r="E159" s="4">
        <v>1393.3000489999999</v>
      </c>
      <c r="F159" s="4">
        <v>732.09997599999997</v>
      </c>
      <c r="G159" s="3">
        <f>IF('Value at Risk'!$C$5=0,'Market Data - EQ'!B159-'Market Data - EQ'!B160,IF('Value at Risk'!$C$6=0,('Market Data - EQ'!B159-'Market Data - EQ'!B160)/'Market Data - EQ'!B160,LN('Market Data - EQ'!B159/'Market Data - EQ'!B160)))</f>
        <v>-4.0496616590464012E-3</v>
      </c>
      <c r="H159" s="3">
        <f>IF('Value at Risk'!$C$5=0,'Market Data - EQ'!C159-'Market Data - EQ'!C160,IF('Value at Risk'!$C$6=0,('Market Data - EQ'!C159-'Market Data - EQ'!C160)/'Market Data - EQ'!C160,LN('Market Data - EQ'!C159/'Market Data - EQ'!C160)))</f>
        <v>-3.7331408693318711E-3</v>
      </c>
      <c r="I159" s="3">
        <f>IF('Value at Risk'!$C$5=0,'Market Data - EQ'!D159-'Market Data - EQ'!D160,IF('Value at Risk'!$C$6=0,('Market Data - EQ'!D159-'Market Data - EQ'!D160)/'Market Data - EQ'!D160,LN('Market Data - EQ'!D159/'Market Data - EQ'!D160)))</f>
        <v>-2.2851253863652297E-2</v>
      </c>
      <c r="J159" s="3">
        <f>IF('Value at Risk'!$C$5=0,'Market Data - EQ'!E159-'Market Data - EQ'!E160,IF('Value at Risk'!$C$6=0,('Market Data - EQ'!E159-'Market Data - EQ'!E160)/'Market Data - EQ'!E160,LN('Market Data - EQ'!E159/'Market Data - EQ'!E160)))</f>
        <v>-3.2363340664823881E-2</v>
      </c>
      <c r="K159" s="3">
        <f>IF('Value at Risk'!$C$5=0,'Market Data - EQ'!F159-'Market Data - EQ'!F160,IF('Value at Risk'!$C$6=0,('Market Data - EQ'!F159-'Market Data - EQ'!F160)/'Market Data - EQ'!F160,LN('Market Data - EQ'!F159/'Market Data - EQ'!F160)))</f>
        <v>-4.0133488173052191E-3</v>
      </c>
      <c r="L159" s="8">
        <f t="shared" si="2"/>
        <v>-1.3402149174831934E-2</v>
      </c>
    </row>
    <row r="160" spans="1:12" x14ac:dyDescent="0.25">
      <c r="A160" s="5">
        <v>43595</v>
      </c>
      <c r="B160" s="4">
        <v>1148.25</v>
      </c>
      <c r="C160" s="4">
        <v>308.04998799999998</v>
      </c>
      <c r="D160" s="4">
        <v>385.10000600000001</v>
      </c>
      <c r="E160" s="4">
        <v>1439.900024</v>
      </c>
      <c r="F160" s="4">
        <v>735.04998799999998</v>
      </c>
      <c r="G160" s="3">
        <f>IF('Value at Risk'!$C$5=0,'Market Data - EQ'!B160-'Market Data - EQ'!B161,IF('Value at Risk'!$C$6=0,('Market Data - EQ'!B160-'Market Data - EQ'!B161)/'Market Data - EQ'!B161,LN('Market Data - EQ'!B160/'Market Data - EQ'!B161)))</f>
        <v>2.4444970271773527E-3</v>
      </c>
      <c r="H160" s="3">
        <f>IF('Value at Risk'!$C$5=0,'Market Data - EQ'!C160-'Market Data - EQ'!C161,IF('Value at Risk'!$C$6=0,('Market Data - EQ'!C160-'Market Data - EQ'!C161)/'Market Data - EQ'!C161,LN('Market Data - EQ'!C160/'Market Data - EQ'!C161)))</f>
        <v>2.9234882562040064E-2</v>
      </c>
      <c r="I160" s="3">
        <f>IF('Value at Risk'!$C$5=0,'Market Data - EQ'!D160-'Market Data - EQ'!D161,IF('Value at Risk'!$C$6=0,('Market Data - EQ'!D160-'Market Data - EQ'!D161)/'Market Data - EQ'!D161,LN('Market Data - EQ'!D160/'Market Data - EQ'!D161)))</f>
        <v>9.7011328217273523E-3</v>
      </c>
      <c r="J160" s="3">
        <f>IF('Value at Risk'!$C$5=0,'Market Data - EQ'!E160-'Market Data - EQ'!E161,IF('Value at Risk'!$C$6=0,('Market Data - EQ'!E160-'Market Data - EQ'!E161)/'Market Data - EQ'!E161,LN('Market Data - EQ'!E160/'Market Data - EQ'!E161)))</f>
        <v>-2.482139025684995E-2</v>
      </c>
      <c r="K160" s="3">
        <f>IF('Value at Risk'!$C$5=0,'Market Data - EQ'!F160-'Market Data - EQ'!F161,IF('Value at Risk'!$C$6=0,('Market Data - EQ'!F160-'Market Data - EQ'!F161)/'Market Data - EQ'!F161,LN('Market Data - EQ'!F160/'Market Data - EQ'!F161)))</f>
        <v>5.5403392612858888E-3</v>
      </c>
      <c r="L160" s="8">
        <f t="shared" si="2"/>
        <v>4.4198922830761423E-3</v>
      </c>
    </row>
    <row r="161" spans="1:12" x14ac:dyDescent="0.25">
      <c r="A161" s="5">
        <v>43594</v>
      </c>
      <c r="B161" s="4">
        <v>1145.4499510000001</v>
      </c>
      <c r="C161" s="4">
        <v>299.29998799999998</v>
      </c>
      <c r="D161" s="4">
        <v>381.39999399999999</v>
      </c>
      <c r="E161" s="4">
        <v>1476.5500489999999</v>
      </c>
      <c r="F161" s="4">
        <v>731</v>
      </c>
      <c r="G161" s="3">
        <f>IF('Value at Risk'!$C$5=0,'Market Data - EQ'!B161-'Market Data - EQ'!B162,IF('Value at Risk'!$C$6=0,('Market Data - EQ'!B161-'Market Data - EQ'!B162)/'Market Data - EQ'!B162,LN('Market Data - EQ'!B161/'Market Data - EQ'!B162)))</f>
        <v>-7.0820929209015329E-3</v>
      </c>
      <c r="H161" s="3">
        <f>IF('Value at Risk'!$C$5=0,'Market Data - EQ'!C161-'Market Data - EQ'!C162,IF('Value at Risk'!$C$6=0,('Market Data - EQ'!C161-'Market Data - EQ'!C162)/'Market Data - EQ'!C162,LN('Market Data - EQ'!C161/'Market Data - EQ'!C162)))</f>
        <v>3.5204962279965961E-3</v>
      </c>
      <c r="I161" s="3">
        <f>IF('Value at Risk'!$C$5=0,'Market Data - EQ'!D161-'Market Data - EQ'!D162,IF('Value at Risk'!$C$6=0,('Market Data - EQ'!D161-'Market Data - EQ'!D162)/'Market Data - EQ'!D162,LN('Market Data - EQ'!D161/'Market Data - EQ'!D162)))</f>
        <v>-2.0931919803289351E-3</v>
      </c>
      <c r="J161" s="3">
        <f>IF('Value at Risk'!$C$5=0,'Market Data - EQ'!E161-'Market Data - EQ'!E162,IF('Value at Risk'!$C$6=0,('Market Data - EQ'!E161-'Market Data - EQ'!E162)/'Market Data - EQ'!E162,LN('Market Data - EQ'!E161/'Market Data - EQ'!E162)))</f>
        <v>-8.1947613769941599E-3</v>
      </c>
      <c r="K161" s="3">
        <f>IF('Value at Risk'!$C$5=0,'Market Data - EQ'!F161-'Market Data - EQ'!F162,IF('Value at Risk'!$C$6=0,('Market Data - EQ'!F161-'Market Data - EQ'!F162)/'Market Data - EQ'!F162,LN('Market Data - EQ'!F161/'Market Data - EQ'!F162)))</f>
        <v>-6.1182868796736912E-3</v>
      </c>
      <c r="L161" s="8">
        <f t="shared" si="2"/>
        <v>-3.9935673859803449E-3</v>
      </c>
    </row>
    <row r="162" spans="1:12" x14ac:dyDescent="0.25">
      <c r="A162" s="5">
        <v>43593</v>
      </c>
      <c r="B162" s="4">
        <v>1153.619995</v>
      </c>
      <c r="C162" s="4">
        <v>298.25</v>
      </c>
      <c r="D162" s="4">
        <v>382.20001200000002</v>
      </c>
      <c r="E162" s="4">
        <v>1488.75</v>
      </c>
      <c r="F162" s="4">
        <v>735.5</v>
      </c>
      <c r="G162" s="3">
        <f>IF('Value at Risk'!$C$5=0,'Market Data - EQ'!B162-'Market Data - EQ'!B163,IF('Value at Risk'!$C$6=0,('Market Data - EQ'!B162-'Market Data - EQ'!B163)/'Market Data - EQ'!B163,LN('Market Data - EQ'!B162/'Market Data - EQ'!B163)))</f>
        <v>-6.5106690163659244E-3</v>
      </c>
      <c r="H162" s="3">
        <f>IF('Value at Risk'!$C$5=0,'Market Data - EQ'!C162-'Market Data - EQ'!C163,IF('Value at Risk'!$C$6=0,('Market Data - EQ'!C162-'Market Data - EQ'!C163)/'Market Data - EQ'!C163,LN('Market Data - EQ'!C162/'Market Data - EQ'!C163)))</f>
        <v>-2.357181770220397E-2</v>
      </c>
      <c r="I162" s="3">
        <f>IF('Value at Risk'!$C$5=0,'Market Data - EQ'!D162-'Market Data - EQ'!D163,IF('Value at Risk'!$C$6=0,('Market Data - EQ'!D162-'Market Data - EQ'!D163)/'Market Data - EQ'!D163,LN('Market Data - EQ'!D162/'Market Data - EQ'!D163)))</f>
        <v>-1.1125454075032301E-2</v>
      </c>
      <c r="J162" s="3">
        <f>IF('Value at Risk'!$C$5=0,'Market Data - EQ'!E162-'Market Data - EQ'!E163,IF('Value at Risk'!$C$6=0,('Market Data - EQ'!E162-'Market Data - EQ'!E163)/'Market Data - EQ'!E163,LN('Market Data - EQ'!E162/'Market Data - EQ'!E163)))</f>
        <v>-1.7845393934276053E-2</v>
      </c>
      <c r="K162" s="3">
        <f>IF('Value at Risk'!$C$5=0,'Market Data - EQ'!F162-'Market Data - EQ'!F163,IF('Value at Risk'!$C$6=0,('Market Data - EQ'!F162-'Market Data - EQ'!F163)/'Market Data - EQ'!F163,LN('Market Data - EQ'!F162/'Market Data - EQ'!F163)))</f>
        <v>-8.5596498017544848E-3</v>
      </c>
      <c r="L162" s="8">
        <f t="shared" si="2"/>
        <v>-1.3522596905926549E-2</v>
      </c>
    </row>
    <row r="163" spans="1:12" x14ac:dyDescent="0.25">
      <c r="A163" s="5">
        <v>43592</v>
      </c>
      <c r="B163" s="4">
        <v>1161.1800539999999</v>
      </c>
      <c r="C163" s="4">
        <v>305.45001200000002</v>
      </c>
      <c r="D163" s="4">
        <v>386.5</v>
      </c>
      <c r="E163" s="4">
        <v>1515.8000489999999</v>
      </c>
      <c r="F163" s="4">
        <v>741.84997599999997</v>
      </c>
      <c r="G163" s="3">
        <f>IF('Value at Risk'!$C$5=0,'Market Data - EQ'!B163-'Market Data - EQ'!B164,IF('Value at Risk'!$C$6=0,('Market Data - EQ'!B163-'Market Data - EQ'!B164)/'Market Data - EQ'!B164,LN('Market Data - EQ'!B163/'Market Data - EQ'!B164)))</f>
        <v>-2.6111190975266819E-3</v>
      </c>
      <c r="H163" s="3">
        <f>IF('Value at Risk'!$C$5=0,'Market Data - EQ'!C163-'Market Data - EQ'!C164,IF('Value at Risk'!$C$6=0,('Market Data - EQ'!C163-'Market Data - EQ'!C164)/'Market Data - EQ'!C164,LN('Market Data - EQ'!C163/'Market Data - EQ'!C164)))</f>
        <v>-1.0688220242914931E-2</v>
      </c>
      <c r="I163" s="3">
        <f>IF('Value at Risk'!$C$5=0,'Market Data - EQ'!D163-'Market Data - EQ'!D164,IF('Value at Risk'!$C$6=0,('Market Data - EQ'!D163-'Market Data - EQ'!D164)/'Market Data - EQ'!D164,LN('Market Data - EQ'!D163/'Market Data - EQ'!D164)))</f>
        <v>-3.6880110746477235E-2</v>
      </c>
      <c r="J163" s="3">
        <f>IF('Value at Risk'!$C$5=0,'Market Data - EQ'!E163-'Market Data - EQ'!E164,IF('Value at Risk'!$C$6=0,('Market Data - EQ'!E163-'Market Data - EQ'!E164)/'Market Data - EQ'!E164,LN('Market Data - EQ'!E163/'Market Data - EQ'!E164)))</f>
        <v>-8.1465408146573232E-3</v>
      </c>
      <c r="K163" s="3">
        <f>IF('Value at Risk'!$C$5=0,'Market Data - EQ'!F163-'Market Data - EQ'!F164,IF('Value at Risk'!$C$6=0,('Market Data - EQ'!F163-'Market Data - EQ'!F164)/'Market Data - EQ'!F164,LN('Market Data - EQ'!F163/'Market Data - EQ'!F164)))</f>
        <v>-7.4921879859439289E-3</v>
      </c>
      <c r="L163" s="8">
        <f t="shared" si="2"/>
        <v>-1.3163635777504021E-2</v>
      </c>
    </row>
    <row r="164" spans="1:12" x14ac:dyDescent="0.25">
      <c r="A164" s="5">
        <v>43591</v>
      </c>
      <c r="B164" s="4">
        <v>1164.219971</v>
      </c>
      <c r="C164" s="4">
        <v>308.75</v>
      </c>
      <c r="D164" s="4">
        <v>401.29998799999998</v>
      </c>
      <c r="E164" s="4">
        <v>1528.25</v>
      </c>
      <c r="F164" s="4">
        <v>747.45001200000002</v>
      </c>
      <c r="G164" s="3">
        <f>IF('Value at Risk'!$C$5=0,'Market Data - EQ'!B164-'Market Data - EQ'!B165,IF('Value at Risk'!$C$6=0,('Market Data - EQ'!B164-'Market Data - EQ'!B165)/'Market Data - EQ'!B165,LN('Market Data - EQ'!B164/'Market Data - EQ'!B165)))</f>
        <v>-1.668116631650618E-2</v>
      </c>
      <c r="H164" s="3">
        <f>IF('Value at Risk'!$C$5=0,'Market Data - EQ'!C164-'Market Data - EQ'!C165,IF('Value at Risk'!$C$6=0,('Market Data - EQ'!C164-'Market Data - EQ'!C165)/'Market Data - EQ'!C165,LN('Market Data - EQ'!C164/'Market Data - EQ'!C165)))</f>
        <v>-4.0322580645161289E-3</v>
      </c>
      <c r="I164" s="3">
        <f>IF('Value at Risk'!$C$5=0,'Market Data - EQ'!D164-'Market Data - EQ'!D165,IF('Value at Risk'!$C$6=0,('Market Data - EQ'!D164-'Market Data - EQ'!D165)/'Market Data - EQ'!D165,LN('Market Data - EQ'!D164/'Market Data - EQ'!D165)))</f>
        <v>-1.2444002362687976E-3</v>
      </c>
      <c r="J164" s="3">
        <f>IF('Value at Risk'!$C$5=0,'Market Data - EQ'!E164-'Market Data - EQ'!E165,IF('Value at Risk'!$C$6=0,('Market Data - EQ'!E164-'Market Data - EQ'!E165)/'Market Data - EQ'!E165,LN('Market Data - EQ'!E164/'Market Data - EQ'!E165)))</f>
        <v>-1.8212756287489477E-2</v>
      </c>
      <c r="K164" s="3">
        <f>IF('Value at Risk'!$C$5=0,'Market Data - EQ'!F164-'Market Data - EQ'!F165,IF('Value at Risk'!$C$6=0,('Market Data - EQ'!F164-'Market Data - EQ'!F165)/'Market Data - EQ'!F165,LN('Market Data - EQ'!F164/'Market Data - EQ'!F165)))</f>
        <v>-1.3006702965905725E-2</v>
      </c>
      <c r="L164" s="8">
        <f t="shared" si="2"/>
        <v>-1.0635456774137261E-2</v>
      </c>
    </row>
    <row r="165" spans="1:12" x14ac:dyDescent="0.25">
      <c r="A165" s="5">
        <v>43588</v>
      </c>
      <c r="B165" s="4">
        <v>1183.969971</v>
      </c>
      <c r="C165" s="4">
        <v>310</v>
      </c>
      <c r="D165" s="4">
        <v>401.79998799999998</v>
      </c>
      <c r="E165" s="4">
        <v>1556.599976</v>
      </c>
      <c r="F165" s="4">
        <v>757.29998799999998</v>
      </c>
      <c r="G165" s="3">
        <f>IF('Value at Risk'!$C$5=0,'Market Data - EQ'!B165-'Market Data - EQ'!B166,IF('Value at Risk'!$C$6=0,('Market Data - EQ'!B165-'Market Data - EQ'!B166)/'Market Data - EQ'!B166,LN('Market Data - EQ'!B165/'Market Data - EQ'!B166)))</f>
        <v>5.1531937145116793E-3</v>
      </c>
      <c r="H165" s="3">
        <f>IF('Value at Risk'!$C$5=0,'Market Data - EQ'!C165-'Market Data - EQ'!C166,IF('Value at Risk'!$C$6=0,('Market Data - EQ'!C165-'Market Data - EQ'!C166)/'Market Data - EQ'!C166,LN('Market Data - EQ'!C165/'Market Data - EQ'!C166)))</f>
        <v>6.0035892780189622E-3</v>
      </c>
      <c r="I165" s="3">
        <f>IF('Value at Risk'!$C$5=0,'Market Data - EQ'!D165-'Market Data - EQ'!D166,IF('Value at Risk'!$C$6=0,('Market Data - EQ'!D165-'Market Data - EQ'!D166)/'Market Data - EQ'!D166,LN('Market Data - EQ'!D165/'Market Data - EQ'!D166)))</f>
        <v>1.5800784198228821E-2</v>
      </c>
      <c r="J165" s="3">
        <f>IF('Value at Risk'!$C$5=0,'Market Data - EQ'!E165-'Market Data - EQ'!E166,IF('Value at Risk'!$C$6=0,('Market Data - EQ'!E165-'Market Data - EQ'!E166)/'Market Data - EQ'!E166,LN('Market Data - EQ'!E165/'Market Data - EQ'!E166)))</f>
        <v>-3.0103585809853357E-3</v>
      </c>
      <c r="K165" s="3">
        <f>IF('Value at Risk'!$C$5=0,'Market Data - EQ'!F165-'Market Data - EQ'!F166,IF('Value at Risk'!$C$6=0,('Market Data - EQ'!F165-'Market Data - EQ'!F166)/'Market Data - EQ'!F166,LN('Market Data - EQ'!F165/'Market Data - EQ'!F166)))</f>
        <v>6.5794007548423388E-3</v>
      </c>
      <c r="L165" s="8">
        <f t="shared" si="2"/>
        <v>6.105321872923293E-3</v>
      </c>
    </row>
    <row r="166" spans="1:12" x14ac:dyDescent="0.25">
      <c r="A166" s="5">
        <v>43587</v>
      </c>
      <c r="B166" s="4">
        <v>1177.900024</v>
      </c>
      <c r="C166" s="4">
        <v>308.14999399999999</v>
      </c>
      <c r="D166" s="4">
        <v>395.54998799999998</v>
      </c>
      <c r="E166" s="4">
        <v>1561.3000489999999</v>
      </c>
      <c r="F166" s="4">
        <v>752.34997599999997</v>
      </c>
      <c r="G166" s="3">
        <f>IF('Value at Risk'!$C$5=0,'Market Data - EQ'!B166-'Market Data - EQ'!B167,IF('Value at Risk'!$C$6=0,('Market Data - EQ'!B166-'Market Data - EQ'!B167)/'Market Data - EQ'!B167,LN('Market Data - EQ'!B166/'Market Data - EQ'!B167)))</f>
        <v>1.6552794014111322E-2</v>
      </c>
      <c r="H166" s="3">
        <f>IF('Value at Risk'!$C$5=0,'Market Data - EQ'!C166-'Market Data - EQ'!C167,IF('Value at Risk'!$C$6=0,('Market Data - EQ'!C166-'Market Data - EQ'!C167)/'Market Data - EQ'!C167,LN('Market Data - EQ'!C166/'Market Data - EQ'!C167)))</f>
        <v>-5.8074461374759447E-3</v>
      </c>
      <c r="I166" s="3">
        <f>IF('Value at Risk'!$C$5=0,'Market Data - EQ'!D166-'Market Data - EQ'!D167,IF('Value at Risk'!$C$6=0,('Market Data - EQ'!D166-'Market Data - EQ'!D167)/'Market Data - EQ'!D167,LN('Market Data - EQ'!D166/'Market Data - EQ'!D167)))</f>
        <v>-2.9325182822085925E-2</v>
      </c>
      <c r="J166" s="3">
        <f>IF('Value at Risk'!$C$5=0,'Market Data - EQ'!E166-'Market Data - EQ'!E167,IF('Value at Risk'!$C$6=0,('Market Data - EQ'!E166-'Market Data - EQ'!E167)/'Market Data - EQ'!E167,LN('Market Data - EQ'!E166/'Market Data - EQ'!E167)))</f>
        <v>-2.8135668222844728E-2</v>
      </c>
      <c r="K166" s="3">
        <f>IF('Value at Risk'!$C$5=0,'Market Data - EQ'!F166-'Market Data - EQ'!F167,IF('Value at Risk'!$C$6=0,('Market Data - EQ'!F166-'Market Data - EQ'!F167)/'Market Data - EQ'!F167,LN('Market Data - EQ'!F166/'Market Data - EQ'!F167)))</f>
        <v>-1.8908522466981208E-2</v>
      </c>
      <c r="L166" s="8">
        <f t="shared" si="2"/>
        <v>-1.3124805127055295E-2</v>
      </c>
    </row>
    <row r="167" spans="1:12" x14ac:dyDescent="0.25">
      <c r="A167" s="5">
        <v>43585</v>
      </c>
      <c r="B167" s="4">
        <v>1158.719971</v>
      </c>
      <c r="C167" s="4">
        <v>309.95001200000002</v>
      </c>
      <c r="D167" s="4">
        <v>407.5</v>
      </c>
      <c r="E167" s="4">
        <v>1606.5</v>
      </c>
      <c r="F167" s="4">
        <v>766.84997599999997</v>
      </c>
      <c r="G167" s="3">
        <f>IF('Value at Risk'!$C$5=0,'Market Data - EQ'!B167-'Market Data - EQ'!B168,IF('Value at Risk'!$C$6=0,('Market Data - EQ'!B167-'Market Data - EQ'!B168)/'Market Data - EQ'!B168,LN('Market Data - EQ'!B167/'Market Data - EQ'!B168)))</f>
        <v>1.6002174948979871E-2</v>
      </c>
      <c r="H167" s="3">
        <f>IF('Value at Risk'!$C$5=0,'Market Data - EQ'!C167-'Market Data - EQ'!C168,IF('Value at Risk'!$C$6=0,('Market Data - EQ'!C167-'Market Data - EQ'!C168)/'Market Data - EQ'!C168,LN('Market Data - EQ'!C167/'Market Data - EQ'!C168)))</f>
        <v>-8.1599615999999511E-3</v>
      </c>
      <c r="I167" s="3">
        <f>IF('Value at Risk'!$C$5=0,'Market Data - EQ'!D167-'Market Data - EQ'!D168,IF('Value at Risk'!$C$6=0,('Market Data - EQ'!D167-'Market Data - EQ'!D168)/'Market Data - EQ'!D168,LN('Market Data - EQ'!D167/'Market Data - EQ'!D168)))</f>
        <v>7.3670921208122367E-4</v>
      </c>
      <c r="J167" s="3">
        <f>IF('Value at Risk'!$C$5=0,'Market Data - EQ'!E167-'Market Data - EQ'!E168,IF('Value at Risk'!$C$6=0,('Market Data - EQ'!E167-'Market Data - EQ'!E168)/'Market Data - EQ'!E168,LN('Market Data - EQ'!E167/'Market Data - EQ'!E168)))</f>
        <v>-5.4360289198367669E-2</v>
      </c>
      <c r="K167" s="3">
        <f>IF('Value at Risk'!$C$5=0,'Market Data - EQ'!F167-'Market Data - EQ'!F168,IF('Value at Risk'!$C$6=0,('Market Data - EQ'!F167-'Market Data - EQ'!F168)/'Market Data - EQ'!F168,LN('Market Data - EQ'!F167/'Market Data - EQ'!F168)))</f>
        <v>9.1458768002354203E-3</v>
      </c>
      <c r="L167" s="8">
        <f t="shared" si="2"/>
        <v>-7.3270979674142202E-3</v>
      </c>
    </row>
    <row r="168" spans="1:12" x14ac:dyDescent="0.25">
      <c r="A168" s="5">
        <v>43581</v>
      </c>
      <c r="B168" s="4">
        <v>1140.469971</v>
      </c>
      <c r="C168" s="4">
        <v>312.5</v>
      </c>
      <c r="D168" s="4">
        <v>407.20001200000002</v>
      </c>
      <c r="E168" s="4">
        <v>1698.849976</v>
      </c>
      <c r="F168" s="4">
        <v>759.90002400000003</v>
      </c>
      <c r="G168" s="3">
        <f>IF('Value at Risk'!$C$5=0,'Market Data - EQ'!B168-'Market Data - EQ'!B169,IF('Value at Risk'!$C$6=0,('Market Data - EQ'!B168-'Market Data - EQ'!B169)/'Market Data - EQ'!B169,LN('Market Data - EQ'!B168/'Market Data - EQ'!B169)))</f>
        <v>7.7315945854241714E-3</v>
      </c>
      <c r="H168" s="3">
        <f>IF('Value at Risk'!$C$5=0,'Market Data - EQ'!C168-'Market Data - EQ'!C169,IF('Value at Risk'!$C$6=0,('Market Data - EQ'!C168-'Market Data - EQ'!C169)/'Market Data - EQ'!C169,LN('Market Data - EQ'!C168/'Market Data - EQ'!C169)))</f>
        <v>2.0574747724046414E-2</v>
      </c>
      <c r="I168" s="3">
        <f>IF('Value at Risk'!$C$5=0,'Market Data - EQ'!D168-'Market Data - EQ'!D169,IF('Value at Risk'!$C$6=0,('Market Data - EQ'!D168-'Market Data - EQ'!D169)/'Market Data - EQ'!D169,LN('Market Data - EQ'!D168/'Market Data - EQ'!D169)))</f>
        <v>2.9843242739148911E-2</v>
      </c>
      <c r="J168" s="3">
        <f>IF('Value at Risk'!$C$5=0,'Market Data - EQ'!E168-'Market Data - EQ'!E169,IF('Value at Risk'!$C$6=0,('Market Data - EQ'!E168-'Market Data - EQ'!E169)/'Market Data - EQ'!E169,LN('Market Data - EQ'!E168/'Market Data - EQ'!E169)))</f>
        <v>9.1478959566644782E-3</v>
      </c>
      <c r="K168" s="3">
        <f>IF('Value at Risk'!$C$5=0,'Market Data - EQ'!F168-'Market Data - EQ'!F169,IF('Value at Risk'!$C$6=0,('Market Data - EQ'!F168-'Market Data - EQ'!F169)/'Market Data - EQ'!F169,LN('Market Data - EQ'!F168/'Market Data - EQ'!F169)))</f>
        <v>2.5644485604713652E-2</v>
      </c>
      <c r="L168" s="8">
        <f t="shared" si="2"/>
        <v>1.8588393321999526E-2</v>
      </c>
    </row>
    <row r="169" spans="1:12" x14ac:dyDescent="0.25">
      <c r="A169" s="5">
        <v>43580</v>
      </c>
      <c r="B169" s="4">
        <v>1131.719971</v>
      </c>
      <c r="C169" s="4">
        <v>306.20001200000002</v>
      </c>
      <c r="D169" s="4">
        <v>395.39999399999999</v>
      </c>
      <c r="E169" s="4">
        <v>1683.4499510000001</v>
      </c>
      <c r="F169" s="4">
        <v>740.90002400000003</v>
      </c>
      <c r="G169" s="3">
        <f>IF('Value at Risk'!$C$5=0,'Market Data - EQ'!B169-'Market Data - EQ'!B170,IF('Value at Risk'!$C$6=0,('Market Data - EQ'!B169-'Market Data - EQ'!B170)/'Market Data - EQ'!B170,LN('Market Data - EQ'!B169/'Market Data - EQ'!B170)))</f>
        <v>-7.1586780750663281E-3</v>
      </c>
      <c r="H169" s="3">
        <f>IF('Value at Risk'!$C$5=0,'Market Data - EQ'!C169-'Market Data - EQ'!C170,IF('Value at Risk'!$C$6=0,('Market Data - EQ'!C169-'Market Data - EQ'!C170)/'Market Data - EQ'!C170,LN('Market Data - EQ'!C169/'Market Data - EQ'!C170)))</f>
        <v>-1.4641956556717569E-2</v>
      </c>
      <c r="I169" s="3">
        <f>IF('Value at Risk'!$C$5=0,'Market Data - EQ'!D169-'Market Data - EQ'!D170,IF('Value at Risk'!$C$6=0,('Market Data - EQ'!D169-'Market Data - EQ'!D170)/'Market Data - EQ'!D170,LN('Market Data - EQ'!D169/'Market Data - EQ'!D170)))</f>
        <v>-1.4210949675228913E-2</v>
      </c>
      <c r="J169" s="3">
        <f>IF('Value at Risk'!$C$5=0,'Market Data - EQ'!E169-'Market Data - EQ'!E170,IF('Value at Risk'!$C$6=0,('Market Data - EQ'!E169-'Market Data - EQ'!E170)/'Market Data - EQ'!E170,LN('Market Data - EQ'!E169/'Market Data - EQ'!E170)))</f>
        <v>-9.2982486391054546E-3</v>
      </c>
      <c r="K169" s="3">
        <f>IF('Value at Risk'!$C$5=0,'Market Data - EQ'!F169-'Market Data - EQ'!F170,IF('Value at Risk'!$C$6=0,('Market Data - EQ'!F169-'Market Data - EQ'!F170)/'Market Data - EQ'!F170,LN('Market Data - EQ'!F169/'Market Data - EQ'!F170)))</f>
        <v>-1.5872952621306773E-2</v>
      </c>
      <c r="L169" s="8">
        <f t="shared" si="2"/>
        <v>-1.2236557113485006E-2</v>
      </c>
    </row>
    <row r="170" spans="1:12" x14ac:dyDescent="0.25">
      <c r="A170" s="5">
        <v>43579</v>
      </c>
      <c r="B170" s="4">
        <v>1139.880005</v>
      </c>
      <c r="C170" s="4">
        <v>310.75</v>
      </c>
      <c r="D170" s="4">
        <v>401.10000600000001</v>
      </c>
      <c r="E170" s="4">
        <v>1699.25</v>
      </c>
      <c r="F170" s="4">
        <v>752.84997599999997</v>
      </c>
      <c r="G170" s="3">
        <f>IF('Value at Risk'!$C$5=0,'Market Data - EQ'!B170-'Market Data - EQ'!B171,IF('Value at Risk'!$C$6=0,('Market Data - EQ'!B170-'Market Data - EQ'!B171)/'Market Data - EQ'!B171,LN('Market Data - EQ'!B170/'Market Data - EQ'!B171)))</f>
        <v>1.5347597765695102E-2</v>
      </c>
      <c r="H170" s="3">
        <f>IF('Value at Risk'!$C$5=0,'Market Data - EQ'!C170-'Market Data - EQ'!C171,IF('Value at Risk'!$C$6=0,('Market Data - EQ'!C170-'Market Data - EQ'!C171)/'Market Data - EQ'!C171,LN('Market Data - EQ'!C170/'Market Data - EQ'!C171)))</f>
        <v>1.8018018018018018E-2</v>
      </c>
      <c r="I170" s="3">
        <f>IF('Value at Risk'!$C$5=0,'Market Data - EQ'!D170-'Market Data - EQ'!D171,IF('Value at Risk'!$C$6=0,('Market Data - EQ'!D170-'Market Data - EQ'!D171)/'Market Data - EQ'!D171,LN('Market Data - EQ'!D170/'Market Data - EQ'!D171)))</f>
        <v>1.1601528373266097E-2</v>
      </c>
      <c r="J170" s="3">
        <f>IF('Value at Risk'!$C$5=0,'Market Data - EQ'!E170-'Market Data - EQ'!E171,IF('Value at Risk'!$C$6=0,('Market Data - EQ'!E170-'Market Data - EQ'!E171)/'Market Data - EQ'!E171,LN('Market Data - EQ'!E170/'Market Data - EQ'!E171)))</f>
        <v>2.9006585336941337E-2</v>
      </c>
      <c r="K170" s="3">
        <f>IF('Value at Risk'!$C$5=0,'Market Data - EQ'!F170-'Market Data - EQ'!F171,IF('Value at Risk'!$C$6=0,('Market Data - EQ'!F170-'Market Data - EQ'!F171)/'Market Data - EQ'!F171,LN('Market Data - EQ'!F170/'Market Data - EQ'!F171)))</f>
        <v>-5.310640557584207E-4</v>
      </c>
      <c r="L170" s="8">
        <f t="shared" si="2"/>
        <v>1.4688533087632428E-2</v>
      </c>
    </row>
    <row r="171" spans="1:12" x14ac:dyDescent="0.25">
      <c r="A171" s="5">
        <v>43578</v>
      </c>
      <c r="B171" s="4">
        <v>1122.650024</v>
      </c>
      <c r="C171" s="4">
        <v>305.25</v>
      </c>
      <c r="D171" s="4">
        <v>396.5</v>
      </c>
      <c r="E171" s="4">
        <v>1651.349976</v>
      </c>
      <c r="F171" s="4">
        <v>753.25</v>
      </c>
      <c r="G171" s="3">
        <f>IF('Value at Risk'!$C$5=0,'Market Data - EQ'!B171-'Market Data - EQ'!B172,IF('Value at Risk'!$C$6=0,('Market Data - EQ'!B171-'Market Data - EQ'!B172)/'Market Data - EQ'!B172,LN('Market Data - EQ'!B171/'Market Data - EQ'!B172)))</f>
        <v>-1.0314234801905563E-2</v>
      </c>
      <c r="H171" s="3">
        <f>IF('Value at Risk'!$C$5=0,'Market Data - EQ'!C171-'Market Data - EQ'!C172,IF('Value at Risk'!$C$6=0,('Market Data - EQ'!C171-'Market Data - EQ'!C172)/'Market Data - EQ'!C172,LN('Market Data - EQ'!C171/'Market Data - EQ'!C172)))</f>
        <v>-1.5481335867685906E-2</v>
      </c>
      <c r="I171" s="3">
        <f>IF('Value at Risk'!$C$5=0,'Market Data - EQ'!D171-'Market Data - EQ'!D172,IF('Value at Risk'!$C$6=0,('Market Data - EQ'!D171-'Market Data - EQ'!D172)/'Market Data - EQ'!D172,LN('Market Data - EQ'!D171/'Market Data - EQ'!D172)))</f>
        <v>5.0697084917617234E-3</v>
      </c>
      <c r="J171" s="3">
        <f>IF('Value at Risk'!$C$5=0,'Market Data - EQ'!E171-'Market Data - EQ'!E172,IF('Value at Risk'!$C$6=0,('Market Data - EQ'!E171-'Market Data - EQ'!E172)/'Market Data - EQ'!E172,LN('Market Data - EQ'!E171/'Market Data - EQ'!E172)))</f>
        <v>-2.3447678296865778E-2</v>
      </c>
      <c r="K171" s="3">
        <f>IF('Value at Risk'!$C$5=0,'Market Data - EQ'!F171-'Market Data - EQ'!F172,IF('Value at Risk'!$C$6=0,('Market Data - EQ'!F171-'Market Data - EQ'!F172)/'Market Data - EQ'!F172,LN('Market Data - EQ'!F171/'Market Data - EQ'!F172)))</f>
        <v>-2.9781601588352085E-3</v>
      </c>
      <c r="L171" s="8">
        <f t="shared" si="2"/>
        <v>-9.4303401267061462E-3</v>
      </c>
    </row>
    <row r="172" spans="1:12" x14ac:dyDescent="0.25">
      <c r="A172" s="5">
        <v>43577</v>
      </c>
      <c r="B172" s="4">
        <v>1134.349976</v>
      </c>
      <c r="C172" s="4">
        <v>310.04998799999998</v>
      </c>
      <c r="D172" s="4">
        <v>394.5</v>
      </c>
      <c r="E172" s="4">
        <v>1691</v>
      </c>
      <c r="F172" s="4">
        <v>755.5</v>
      </c>
      <c r="G172" s="3">
        <f>IF('Value at Risk'!$C$5=0,'Market Data - EQ'!B172-'Market Data - EQ'!B173,IF('Value at Risk'!$C$6=0,('Market Data - EQ'!B172-'Market Data - EQ'!B173)/'Market Data - EQ'!B173,LN('Market Data - EQ'!B172/'Market Data - EQ'!B173)))</f>
        <v>-1.0873520332022636E-2</v>
      </c>
      <c r="H172" s="3">
        <f>IF('Value at Risk'!$C$5=0,'Market Data - EQ'!C172-'Market Data - EQ'!C173,IF('Value at Risk'!$C$6=0,('Market Data - EQ'!C172-'Market Data - EQ'!C173)/'Market Data - EQ'!C173,LN('Market Data - EQ'!C172/'Market Data - EQ'!C173)))</f>
        <v>-2.4131275062983593E-3</v>
      </c>
      <c r="I172" s="3">
        <f>IF('Value at Risk'!$C$5=0,'Market Data - EQ'!D172-'Market Data - EQ'!D173,IF('Value at Risk'!$C$6=0,('Market Data - EQ'!D172-'Market Data - EQ'!D173)/'Market Data - EQ'!D173,LN('Market Data - EQ'!D172/'Market Data - EQ'!D173)))</f>
        <v>-2.4480697692591934E-2</v>
      </c>
      <c r="J172" s="3">
        <f>IF('Value at Risk'!$C$5=0,'Market Data - EQ'!E172-'Market Data - EQ'!E173,IF('Value at Risk'!$C$6=0,('Market Data - EQ'!E172-'Market Data - EQ'!E173)/'Market Data - EQ'!E173,LN('Market Data - EQ'!E172/'Market Data - EQ'!E173)))</f>
        <v>-4.1546248916983365E-2</v>
      </c>
      <c r="K172" s="3">
        <f>IF('Value at Risk'!$C$5=0,'Market Data - EQ'!F172-'Market Data - EQ'!F173,IF('Value at Risk'!$C$6=0,('Market Data - EQ'!F172-'Market Data - EQ'!F173)/'Market Data - EQ'!F173,LN('Market Data - EQ'!F172/'Market Data - EQ'!F173)))</f>
        <v>-2.0357899060821093E-2</v>
      </c>
      <c r="L172" s="8">
        <f t="shared" si="2"/>
        <v>-1.9934298701743479E-2</v>
      </c>
    </row>
    <row r="173" spans="1:12" x14ac:dyDescent="0.25">
      <c r="A173" s="5">
        <v>43573</v>
      </c>
      <c r="B173" s="4">
        <v>1146.8199460000001</v>
      </c>
      <c r="C173" s="4">
        <v>310.79998799999998</v>
      </c>
      <c r="D173" s="4">
        <v>404.39999399999999</v>
      </c>
      <c r="E173" s="4">
        <v>1764.3000489999999</v>
      </c>
      <c r="F173" s="4">
        <v>771.20001200000002</v>
      </c>
      <c r="G173" s="3">
        <f>IF('Value at Risk'!$C$5=0,'Market Data - EQ'!B173-'Market Data - EQ'!B174,IF('Value at Risk'!$C$6=0,('Market Data - EQ'!B173-'Market Data - EQ'!B174)/'Market Data - EQ'!B174,LN('Market Data - EQ'!B173/'Market Data - EQ'!B174)))</f>
        <v>-4.9543897827584848E-3</v>
      </c>
      <c r="H173" s="3">
        <f>IF('Value at Risk'!$C$5=0,'Market Data - EQ'!C173-'Market Data - EQ'!C174,IF('Value at Risk'!$C$6=0,('Market Data - EQ'!C173-'Market Data - EQ'!C174)/'Market Data - EQ'!C174,LN('Market Data - EQ'!C173/'Market Data - EQ'!C174)))</f>
        <v>-1.5676997624703135E-2</v>
      </c>
      <c r="I173" s="3">
        <f>IF('Value at Risk'!$C$5=0,'Market Data - EQ'!D173-'Market Data - EQ'!D174,IF('Value at Risk'!$C$6=0,('Market Data - EQ'!D173-'Market Data - EQ'!D174)/'Market Data - EQ'!D174,LN('Market Data - EQ'!D173/'Market Data - EQ'!D174)))</f>
        <v>-6.3882211302211485E-3</v>
      </c>
      <c r="J173" s="3">
        <f>IF('Value at Risk'!$C$5=0,'Market Data - EQ'!E173-'Market Data - EQ'!E174,IF('Value at Risk'!$C$6=0,('Market Data - EQ'!E173-'Market Data - EQ'!E174)/'Market Data - EQ'!E174,LN('Market Data - EQ'!E173/'Market Data - EQ'!E174)))</f>
        <v>-2.8014199557975537E-2</v>
      </c>
      <c r="K173" s="3">
        <f>IF('Value at Risk'!$C$5=0,'Market Data - EQ'!F173-'Market Data - EQ'!F174,IF('Value at Risk'!$C$6=0,('Market Data - EQ'!F173-'Market Data - EQ'!F174)/'Market Data - EQ'!F174,LN('Market Data - EQ'!F173/'Market Data - EQ'!F174)))</f>
        <v>1.2973155636571506E-4</v>
      </c>
      <c r="L173" s="8">
        <f t="shared" si="2"/>
        <v>-1.0980815307858518E-2</v>
      </c>
    </row>
    <row r="174" spans="1:12" x14ac:dyDescent="0.25">
      <c r="A174" s="5">
        <v>43571</v>
      </c>
      <c r="B174" s="4">
        <v>1152.530029</v>
      </c>
      <c r="C174" s="4">
        <v>315.75</v>
      </c>
      <c r="D174" s="4">
        <v>407</v>
      </c>
      <c r="E174" s="4">
        <v>1815.150024</v>
      </c>
      <c r="F174" s="4">
        <v>771.09997599999997</v>
      </c>
      <c r="G174" s="3">
        <f>IF('Value at Risk'!$C$5=0,'Market Data - EQ'!B174-'Market Data - EQ'!B175,IF('Value at Risk'!$C$6=0,('Market Data - EQ'!B174-'Market Data - EQ'!B175)/'Market Data - EQ'!B175,LN('Market Data - EQ'!B174/'Market Data - EQ'!B175)))</f>
        <v>7.1041636049458722E-3</v>
      </c>
      <c r="H174" s="3">
        <f>IF('Value at Risk'!$C$5=0,'Market Data - EQ'!C174-'Market Data - EQ'!C175,IF('Value at Risk'!$C$6=0,('Market Data - EQ'!C174-'Market Data - EQ'!C175)/'Market Data - EQ'!C175,LN('Market Data - EQ'!C174/'Market Data - EQ'!C175)))</f>
        <v>4.7526615066031529E-4</v>
      </c>
      <c r="I174" s="3">
        <f>IF('Value at Risk'!$C$5=0,'Market Data - EQ'!D174-'Market Data - EQ'!D175,IF('Value at Risk'!$C$6=0,('Market Data - EQ'!D174-'Market Data - EQ'!D175)/'Market Data - EQ'!D175,LN('Market Data - EQ'!D174/'Market Data - EQ'!D175)))</f>
        <v>3.6282622533418206E-2</v>
      </c>
      <c r="J174" s="3">
        <f>IF('Value at Risk'!$C$5=0,'Market Data - EQ'!E174-'Market Data - EQ'!E175,IF('Value at Risk'!$C$6=0,('Market Data - EQ'!E174-'Market Data - EQ'!E175)/'Market Data - EQ'!E175,LN('Market Data - EQ'!E174/'Market Data - EQ'!E175)))</f>
        <v>3.7880953222515362E-2</v>
      </c>
      <c r="K174" s="3">
        <f>IF('Value at Risk'!$C$5=0,'Market Data - EQ'!F174-'Market Data - EQ'!F175,IF('Value at Risk'!$C$6=0,('Market Data - EQ'!F174-'Market Data - EQ'!F175)/'Market Data - EQ'!F175,LN('Market Data - EQ'!F174/'Market Data - EQ'!F175)))</f>
        <v>1.0814708343125123E-2</v>
      </c>
      <c r="L174" s="8">
        <f t="shared" si="2"/>
        <v>1.8511542770932976E-2</v>
      </c>
    </row>
    <row r="175" spans="1:12" x14ac:dyDescent="0.25">
      <c r="A175" s="5">
        <v>43570</v>
      </c>
      <c r="B175" s="4">
        <v>1144.400024</v>
      </c>
      <c r="C175" s="4">
        <v>315.60000600000001</v>
      </c>
      <c r="D175" s="4">
        <v>392.75</v>
      </c>
      <c r="E175" s="4">
        <v>1748.900024</v>
      </c>
      <c r="F175" s="4">
        <v>762.84997599999997</v>
      </c>
      <c r="G175" s="3">
        <f>IF('Value at Risk'!$C$5=0,'Market Data - EQ'!B175-'Market Data - EQ'!B176,IF('Value at Risk'!$C$6=0,('Market Data - EQ'!B175-'Market Data - EQ'!B176)/'Market Data - EQ'!B176,LN('Market Data - EQ'!B175/'Market Data - EQ'!B176)))</f>
        <v>1.0400689597573291E-2</v>
      </c>
      <c r="H175" s="3">
        <f>IF('Value at Risk'!$C$5=0,'Market Data - EQ'!C175-'Market Data - EQ'!C176,IF('Value at Risk'!$C$6=0,('Market Data - EQ'!C175-'Market Data - EQ'!C176)/'Market Data - EQ'!C176,LN('Market Data - EQ'!C175/'Market Data - EQ'!C176)))</f>
        <v>1.1102490087232595E-3</v>
      </c>
      <c r="I175" s="3">
        <f>IF('Value at Risk'!$C$5=0,'Market Data - EQ'!D175-'Market Data - EQ'!D176,IF('Value at Risk'!$C$6=0,('Market Data - EQ'!D175-'Market Data - EQ'!D176)/'Market Data - EQ'!D176,LN('Market Data - EQ'!D175/'Market Data - EQ'!D176)))</f>
        <v>-4.6883070751904841E-3</v>
      </c>
      <c r="J175" s="3">
        <f>IF('Value at Risk'!$C$5=0,'Market Data - EQ'!E175-'Market Data - EQ'!E176,IF('Value at Risk'!$C$6=0,('Market Data - EQ'!E175-'Market Data - EQ'!E176)/'Market Data - EQ'!E176,LN('Market Data - EQ'!E175/'Market Data - EQ'!E176)))</f>
        <v>6.9668209688080714E-3</v>
      </c>
      <c r="K175" s="3">
        <f>IF('Value at Risk'!$C$5=0,'Market Data - EQ'!F175-'Market Data - EQ'!F176,IF('Value at Risk'!$C$6=0,('Market Data - EQ'!F175-'Market Data - EQ'!F176)/'Market Data - EQ'!F176,LN('Market Data - EQ'!F175/'Market Data - EQ'!F176)))</f>
        <v>-1.9624518180137943E-3</v>
      </c>
      <c r="L175" s="8">
        <f t="shared" si="2"/>
        <v>2.3654001363800684E-3</v>
      </c>
    </row>
    <row r="176" spans="1:12" x14ac:dyDescent="0.25">
      <c r="A176" s="5">
        <v>43567</v>
      </c>
      <c r="B176" s="4">
        <v>1132.619995</v>
      </c>
      <c r="C176" s="4">
        <v>315.25</v>
      </c>
      <c r="D176" s="4">
        <v>394.60000600000001</v>
      </c>
      <c r="E176" s="4">
        <v>1736.8000489999999</v>
      </c>
      <c r="F176" s="4">
        <v>764.34997599999997</v>
      </c>
      <c r="G176" s="3">
        <f>IF('Value at Risk'!$C$5=0,'Market Data - EQ'!B176-'Market Data - EQ'!B177,IF('Value at Risk'!$C$6=0,('Market Data - EQ'!B176-'Market Data - EQ'!B177)/'Market Data - EQ'!B177,LN('Market Data - EQ'!B176/'Market Data - EQ'!B177)))</f>
        <v>3.4285669988925955E-3</v>
      </c>
      <c r="H176" s="3">
        <f>IF('Value at Risk'!$C$5=0,'Market Data - EQ'!C176-'Market Data - EQ'!C177,IF('Value at Risk'!$C$6=0,('Market Data - EQ'!C176-'Market Data - EQ'!C177)/'Market Data - EQ'!C177,LN('Market Data - EQ'!C176/'Market Data - EQ'!C177)))</f>
        <v>1.11148303165737E-3</v>
      </c>
      <c r="I176" s="3">
        <f>IF('Value at Risk'!$C$5=0,'Market Data - EQ'!D176-'Market Data - EQ'!D177,IF('Value at Risk'!$C$6=0,('Market Data - EQ'!D176-'Market Data - EQ'!D177)/'Market Data - EQ'!D177,LN('Market Data - EQ'!D176/'Market Data - EQ'!D177)))</f>
        <v>1.1665217638719741E-2</v>
      </c>
      <c r="J176" s="3">
        <f>IF('Value at Risk'!$C$5=0,'Market Data - EQ'!E176-'Market Data - EQ'!E177,IF('Value at Risk'!$C$6=0,('Market Data - EQ'!E176-'Market Data - EQ'!E177)/'Market Data - EQ'!E177,LN('Market Data - EQ'!E176/'Market Data - EQ'!E177)))</f>
        <v>-2.2118030315783259E-3</v>
      </c>
      <c r="K176" s="3">
        <f>IF('Value at Risk'!$C$5=0,'Market Data - EQ'!F176-'Market Data - EQ'!F177,IF('Value at Risk'!$C$6=0,('Market Data - EQ'!F176-'Market Data - EQ'!F177)/'Market Data - EQ'!F177,LN('Market Data - EQ'!F176/'Market Data - EQ'!F177)))</f>
        <v>1.601753049609245E-2</v>
      </c>
      <c r="L176" s="8">
        <f t="shared" si="2"/>
        <v>6.0021990267567658E-3</v>
      </c>
    </row>
    <row r="177" spans="1:12" x14ac:dyDescent="0.25">
      <c r="A177" s="5">
        <v>43566</v>
      </c>
      <c r="B177" s="4">
        <v>1128.75</v>
      </c>
      <c r="C177" s="4">
        <v>314.89999399999999</v>
      </c>
      <c r="D177" s="4">
        <v>390.04998799999998</v>
      </c>
      <c r="E177" s="4">
        <v>1740.650024</v>
      </c>
      <c r="F177" s="4">
        <v>752.29998799999998</v>
      </c>
      <c r="G177" s="3">
        <f>IF('Value at Risk'!$C$5=0,'Market Data - EQ'!B177-'Market Data - EQ'!B178,IF('Value at Risk'!$C$6=0,('Market Data - EQ'!B177-'Market Data - EQ'!B178)/'Market Data - EQ'!B178,LN('Market Data - EQ'!B177/'Market Data - EQ'!B178)))</f>
        <v>9.0016318463831957E-3</v>
      </c>
      <c r="H177" s="3">
        <f>IF('Value at Risk'!$C$5=0,'Market Data - EQ'!C177-'Market Data - EQ'!C178,IF('Value at Risk'!$C$6=0,('Market Data - EQ'!C177-'Market Data - EQ'!C178)/'Market Data - EQ'!C178,LN('Market Data - EQ'!C177/'Market Data - EQ'!C178)))</f>
        <v>1.2865873519444326E-2</v>
      </c>
      <c r="I177" s="3">
        <f>IF('Value at Risk'!$C$5=0,'Market Data - EQ'!D177-'Market Data - EQ'!D178,IF('Value at Risk'!$C$6=0,('Market Data - EQ'!D177-'Market Data - EQ'!D178)/'Market Data - EQ'!D178,LN('Market Data - EQ'!D177/'Market Data - EQ'!D178)))</f>
        <v>-1.0527711500932247E-2</v>
      </c>
      <c r="J177" s="3">
        <f>IF('Value at Risk'!$C$5=0,'Market Data - EQ'!E177-'Market Data - EQ'!E178,IF('Value at Risk'!$C$6=0,('Market Data - EQ'!E177-'Market Data - EQ'!E178)/'Market Data - EQ'!E178,LN('Market Data - EQ'!E177/'Market Data - EQ'!E178)))</f>
        <v>-3.8913429229310297E-3</v>
      </c>
      <c r="K177" s="3">
        <f>IF('Value at Risk'!$C$5=0,'Market Data - EQ'!F177-'Market Data - EQ'!F178,IF('Value at Risk'!$C$6=0,('Market Data - EQ'!F177-'Market Data - EQ'!F178)/'Market Data - EQ'!F178,LN('Market Data - EQ'!F177/'Market Data - EQ'!F178)))</f>
        <v>-1.1237416402310546E-2</v>
      </c>
      <c r="L177" s="8">
        <f t="shared" si="2"/>
        <v>-7.5779309206925986E-4</v>
      </c>
    </row>
    <row r="178" spans="1:12" x14ac:dyDescent="0.25">
      <c r="A178" s="5">
        <v>43565</v>
      </c>
      <c r="B178" s="4">
        <v>1118.6800539999999</v>
      </c>
      <c r="C178" s="4">
        <v>310.89999399999999</v>
      </c>
      <c r="D178" s="4">
        <v>394.20001200000002</v>
      </c>
      <c r="E178" s="4">
        <v>1747.4499510000001</v>
      </c>
      <c r="F178" s="4">
        <v>760.84997599999997</v>
      </c>
      <c r="G178" s="3">
        <f>IF('Value at Risk'!$C$5=0,'Market Data - EQ'!B178-'Market Data - EQ'!B179,IF('Value at Risk'!$C$6=0,('Market Data - EQ'!B178-'Market Data - EQ'!B179)/'Market Data - EQ'!B179,LN('Market Data - EQ'!B178/'Market Data - EQ'!B179)))</f>
        <v>-2.1807891702698052E-2</v>
      </c>
      <c r="H178" s="3">
        <f>IF('Value at Risk'!$C$5=0,'Market Data - EQ'!C178-'Market Data - EQ'!C179,IF('Value at Risk'!$C$6=0,('Market Data - EQ'!C178-'Market Data - EQ'!C179)/'Market Data - EQ'!C179,LN('Market Data - EQ'!C178/'Market Data - EQ'!C179)))</f>
        <v>-1.223194916600479E-2</v>
      </c>
      <c r="I178" s="3">
        <f>IF('Value at Risk'!$C$5=0,'Market Data - EQ'!D178-'Market Data - EQ'!D179,IF('Value at Risk'!$C$6=0,('Market Data - EQ'!D178-'Market Data - EQ'!D179)/'Market Data - EQ'!D179,LN('Market Data - EQ'!D178/'Market Data - EQ'!D179)))</f>
        <v>-7.4278787474940195E-3</v>
      </c>
      <c r="J178" s="3">
        <f>IF('Value at Risk'!$C$5=0,'Market Data - EQ'!E178-'Market Data - EQ'!E179,IF('Value at Risk'!$C$6=0,('Market Data - EQ'!E178-'Market Data - EQ'!E179)/'Market Data - EQ'!E179,LN('Market Data - EQ'!E178/'Market Data - EQ'!E179)))</f>
        <v>-1.1119928281861917E-2</v>
      </c>
      <c r="K178" s="3">
        <f>IF('Value at Risk'!$C$5=0,'Market Data - EQ'!F178-'Market Data - EQ'!F179,IF('Value at Risk'!$C$6=0,('Market Data - EQ'!F178-'Market Data - EQ'!F179)/'Market Data - EQ'!F179,LN('Market Data - EQ'!F178/'Market Data - EQ'!F179)))</f>
        <v>-3.3403823943291633E-3</v>
      </c>
      <c r="L178" s="8">
        <f t="shared" si="2"/>
        <v>-1.1185606058477588E-2</v>
      </c>
    </row>
    <row r="179" spans="1:12" x14ac:dyDescent="0.25">
      <c r="A179" s="5">
        <v>43564</v>
      </c>
      <c r="B179" s="4">
        <v>1143.619995</v>
      </c>
      <c r="C179" s="4">
        <v>314.75</v>
      </c>
      <c r="D179" s="4">
        <v>397.14999399999999</v>
      </c>
      <c r="E179" s="4">
        <v>1767.099976</v>
      </c>
      <c r="F179" s="4">
        <v>763.40002400000003</v>
      </c>
      <c r="G179" s="3">
        <f>IF('Value at Risk'!$C$5=0,'Market Data - EQ'!B179-'Market Data - EQ'!B180,IF('Value at Risk'!$C$6=0,('Market Data - EQ'!B179-'Market Data - EQ'!B180)/'Market Data - EQ'!B180,LN('Market Data - EQ'!B179/'Market Data - EQ'!B180)))</f>
        <v>-9.4344024305810276E-4</v>
      </c>
      <c r="H179" s="3">
        <f>IF('Value at Risk'!$C$5=0,'Market Data - EQ'!C179-'Market Data - EQ'!C180,IF('Value at Risk'!$C$6=0,('Market Data - EQ'!C179-'Market Data - EQ'!C180)/'Market Data - EQ'!C180,LN('Market Data - EQ'!C179/'Market Data - EQ'!C180)))</f>
        <v>6.2340539475980268E-3</v>
      </c>
      <c r="I179" s="3">
        <f>IF('Value at Risk'!$C$5=0,'Market Data - EQ'!D179-'Market Data - EQ'!D180,IF('Value at Risk'!$C$6=0,('Market Data - EQ'!D179-'Market Data - EQ'!D180)/'Market Data - EQ'!D180,LN('Market Data - EQ'!D179/'Market Data - EQ'!D180)))</f>
        <v>2.5962252245483004E-2</v>
      </c>
      <c r="J179" s="3">
        <f>IF('Value at Risk'!$C$5=0,'Market Data - EQ'!E179-'Market Data - EQ'!E180,IF('Value at Risk'!$C$6=0,('Market Data - EQ'!E179-'Market Data - EQ'!E180)/'Market Data - EQ'!E180,LN('Market Data - EQ'!E179/'Market Data - EQ'!E180)))</f>
        <v>9.1947321530553797E-3</v>
      </c>
      <c r="K179" s="3">
        <f>IF('Value at Risk'!$C$5=0,'Market Data - EQ'!F179-'Market Data - EQ'!F180,IF('Value at Risk'!$C$6=0,('Market Data - EQ'!F179-'Market Data - EQ'!F180)/'Market Data - EQ'!F180,LN('Market Data - EQ'!F179/'Market Data - EQ'!F180)))</f>
        <v>1.1661871560939542E-2</v>
      </c>
      <c r="L179" s="8">
        <f t="shared" si="2"/>
        <v>1.0421893932803569E-2</v>
      </c>
    </row>
    <row r="180" spans="1:12" x14ac:dyDescent="0.25">
      <c r="A180" s="5">
        <v>43563</v>
      </c>
      <c r="B180" s="4">
        <v>1144.6999510000001</v>
      </c>
      <c r="C180" s="4">
        <v>312.79998799999998</v>
      </c>
      <c r="D180" s="4">
        <v>387.10000600000001</v>
      </c>
      <c r="E180" s="4">
        <v>1751</v>
      </c>
      <c r="F180" s="4">
        <v>754.59997599999997</v>
      </c>
      <c r="G180" s="3">
        <f>IF('Value at Risk'!$C$5=0,'Market Data - EQ'!B180-'Market Data - EQ'!B181,IF('Value at Risk'!$C$6=0,('Market Data - EQ'!B180-'Market Data - EQ'!B181)/'Market Data - EQ'!B181,LN('Market Data - EQ'!B180/'Market Data - EQ'!B181)))</f>
        <v>-7.0264552877373184E-3</v>
      </c>
      <c r="H180" s="3">
        <f>IF('Value at Risk'!$C$5=0,'Market Data - EQ'!C180-'Market Data - EQ'!C181,IF('Value at Risk'!$C$6=0,('Market Data - EQ'!C180-'Market Data - EQ'!C181)/'Market Data - EQ'!C181,LN('Market Data - EQ'!C180/'Market Data - EQ'!C181)))</f>
        <v>-1.3404826244623609E-2</v>
      </c>
      <c r="I180" s="3">
        <f>IF('Value at Risk'!$C$5=0,'Market Data - EQ'!D180-'Market Data - EQ'!D181,IF('Value at Risk'!$C$6=0,('Market Data - EQ'!D180-'Market Data - EQ'!D181)/'Market Data - EQ'!D181,LN('Market Data - EQ'!D180/'Market Data - EQ'!D181)))</f>
        <v>-8.8336502522181042E-3</v>
      </c>
      <c r="J180" s="3">
        <f>IF('Value at Risk'!$C$5=0,'Market Data - EQ'!E180-'Market Data - EQ'!E181,IF('Value at Risk'!$C$6=0,('Market Data - EQ'!E180-'Market Data - EQ'!E181)/'Market Data - EQ'!E181,LN('Market Data - EQ'!E180/'Market Data - EQ'!E181)))</f>
        <v>-9.587347758579199E-3</v>
      </c>
      <c r="K180" s="3">
        <f>IF('Value at Risk'!$C$5=0,'Market Data - EQ'!F180-'Market Data - EQ'!F181,IF('Value at Risk'!$C$6=0,('Market Data - EQ'!F180-'Market Data - EQ'!F181)/'Market Data - EQ'!F181,LN('Market Data - EQ'!F180/'Market Data - EQ'!F181)))</f>
        <v>-9.9711832594408904E-3</v>
      </c>
      <c r="L180" s="8">
        <f t="shared" si="2"/>
        <v>-9.7646925605198252E-3</v>
      </c>
    </row>
    <row r="181" spans="1:12" x14ac:dyDescent="0.25">
      <c r="A181" s="5">
        <v>43560</v>
      </c>
      <c r="B181" s="4">
        <v>1152.8000489999999</v>
      </c>
      <c r="C181" s="4">
        <v>317.04998799999998</v>
      </c>
      <c r="D181" s="4">
        <v>390.54998799999998</v>
      </c>
      <c r="E181" s="4">
        <v>1767.9499510000001</v>
      </c>
      <c r="F181" s="4">
        <v>762.20001200000002</v>
      </c>
      <c r="G181" s="3">
        <f>IF('Value at Risk'!$C$5=0,'Market Data - EQ'!B181-'Market Data - EQ'!B182,IF('Value at Risk'!$C$6=0,('Market Data - EQ'!B181-'Market Data - EQ'!B182)/'Market Data - EQ'!B182,LN('Market Data - EQ'!B181/'Market Data - EQ'!B182)))</f>
        <v>9.4836801974015807E-3</v>
      </c>
      <c r="H181" s="3">
        <f>IF('Value at Risk'!$C$5=0,'Market Data - EQ'!C181-'Market Data - EQ'!C182,IF('Value at Risk'!$C$6=0,('Market Data - EQ'!C181-'Market Data - EQ'!C182)/'Market Data - EQ'!C182,LN('Market Data - EQ'!C181/'Market Data - EQ'!C182)))</f>
        <v>-1.4760721495117023E-2</v>
      </c>
      <c r="I181" s="3">
        <f>IF('Value at Risk'!$C$5=0,'Market Data - EQ'!D181-'Market Data - EQ'!D182,IF('Value at Risk'!$C$6=0,('Market Data - EQ'!D181-'Market Data - EQ'!D182)/'Market Data - EQ'!D182,LN('Market Data - EQ'!D181/'Market Data - EQ'!D182)))</f>
        <v>4.6301942122186105E-3</v>
      </c>
      <c r="J181" s="3">
        <f>IF('Value at Risk'!$C$5=0,'Market Data - EQ'!E181-'Market Data - EQ'!E182,IF('Value at Risk'!$C$6=0,('Market Data - EQ'!E181-'Market Data - EQ'!E182)/'Market Data - EQ'!E182,LN('Market Data - EQ'!E181/'Market Data - EQ'!E182)))</f>
        <v>1.8316347412612784E-2</v>
      </c>
      <c r="K181" s="3">
        <f>IF('Value at Risk'!$C$5=0,'Market Data - EQ'!F181-'Market Data - EQ'!F182,IF('Value at Risk'!$C$6=0,('Market Data - EQ'!F181-'Market Data - EQ'!F182)/'Market Data - EQ'!F182,LN('Market Data - EQ'!F181/'Market Data - EQ'!F182)))</f>
        <v>6.5588136752436574E-5</v>
      </c>
      <c r="L181" s="8">
        <f t="shared" si="2"/>
        <v>3.5470176927736782E-3</v>
      </c>
    </row>
    <row r="182" spans="1:12" x14ac:dyDescent="0.25">
      <c r="A182" s="5">
        <v>43559</v>
      </c>
      <c r="B182" s="4">
        <v>1141.969971</v>
      </c>
      <c r="C182" s="4">
        <v>321.79998799999998</v>
      </c>
      <c r="D182" s="4">
        <v>388.75</v>
      </c>
      <c r="E182" s="4">
        <v>1736.150024</v>
      </c>
      <c r="F182" s="4">
        <v>762.15002400000003</v>
      </c>
      <c r="G182" s="3">
        <f>IF('Value at Risk'!$C$5=0,'Market Data - EQ'!B182-'Market Data - EQ'!B183,IF('Value at Risk'!$C$6=0,('Market Data - EQ'!B182-'Market Data - EQ'!B183)/'Market Data - EQ'!B183,LN('Market Data - EQ'!B182/'Market Data - EQ'!B183)))</f>
        <v>-3.8469215973458959E-3</v>
      </c>
      <c r="H182" s="3">
        <f>IF('Value at Risk'!$C$5=0,'Market Data - EQ'!C182-'Market Data - EQ'!C183,IF('Value at Risk'!$C$6=0,('Market Data - EQ'!C182-'Market Data - EQ'!C183)/'Market Data - EQ'!C183,LN('Market Data - EQ'!C182/'Market Data - EQ'!C183)))</f>
        <v>4.0561248049921523E-3</v>
      </c>
      <c r="I182" s="3">
        <f>IF('Value at Risk'!$C$5=0,'Market Data - EQ'!D182-'Market Data - EQ'!D183,IF('Value at Risk'!$C$6=0,('Market Data - EQ'!D182-'Market Data - EQ'!D183)/'Market Data - EQ'!D183,LN('Market Data - EQ'!D182/'Market Data - EQ'!D183)))</f>
        <v>-8.5437540136125562E-3</v>
      </c>
      <c r="J182" s="3">
        <f>IF('Value at Risk'!$C$5=0,'Market Data - EQ'!E182-'Market Data - EQ'!E183,IF('Value at Risk'!$C$6=0,('Market Data - EQ'!E182-'Market Data - EQ'!E183)/'Market Data - EQ'!E183,LN('Market Data - EQ'!E182/'Market Data - EQ'!E183)))</f>
        <v>-2.1115219049822505E-2</v>
      </c>
      <c r="K182" s="3">
        <f>IF('Value at Risk'!$C$5=0,'Market Data - EQ'!F182-'Market Data - EQ'!F183,IF('Value at Risk'!$C$6=0,('Market Data - EQ'!F182-'Market Data - EQ'!F183)/'Market Data - EQ'!F183,LN('Market Data - EQ'!F182/'Market Data - EQ'!F183)))</f>
        <v>8.5360998030207527E-4</v>
      </c>
      <c r="L182" s="8">
        <f t="shared" si="2"/>
        <v>-5.7192319750973466E-3</v>
      </c>
    </row>
    <row r="183" spans="1:12" x14ac:dyDescent="0.25">
      <c r="A183" s="5">
        <v>43558</v>
      </c>
      <c r="B183" s="4">
        <v>1146.380005</v>
      </c>
      <c r="C183" s="4">
        <v>320.5</v>
      </c>
      <c r="D183" s="4">
        <v>392.10000600000001</v>
      </c>
      <c r="E183" s="4">
        <v>1773.599976</v>
      </c>
      <c r="F183" s="4">
        <v>761.5</v>
      </c>
      <c r="G183" s="3">
        <f>IF('Value at Risk'!$C$5=0,'Market Data - EQ'!B183-'Market Data - EQ'!B184,IF('Value at Risk'!$C$6=0,('Market Data - EQ'!B183-'Market Data - EQ'!B184)/'Market Data - EQ'!B184,LN('Market Data - EQ'!B183/'Market Data - EQ'!B184)))</f>
        <v>-9.1513116319327694E-4</v>
      </c>
      <c r="H183" s="3">
        <f>IF('Value at Risk'!$C$5=0,'Market Data - EQ'!C183-'Market Data - EQ'!C184,IF('Value at Risk'!$C$6=0,('Market Data - EQ'!C183-'Market Data - EQ'!C184)/'Market Data - EQ'!C184,LN('Market Data - EQ'!C183/'Market Data - EQ'!C184)))</f>
        <v>-2.5835866261398176E-2</v>
      </c>
      <c r="I183" s="3">
        <f>IF('Value at Risk'!$C$5=0,'Market Data - EQ'!D183-'Market Data - EQ'!D184,IF('Value at Risk'!$C$6=0,('Market Data - EQ'!D183-'Market Data - EQ'!D184)/'Market Data - EQ'!D184,LN('Market Data - EQ'!D183/'Market Data - EQ'!D184)))</f>
        <v>-1.2715568617130546E-2</v>
      </c>
      <c r="J183" s="3">
        <f>IF('Value at Risk'!$C$5=0,'Market Data - EQ'!E183-'Market Data - EQ'!E184,IF('Value at Risk'!$C$6=0,('Market Data - EQ'!E183-'Market Data - EQ'!E184)/'Market Data - EQ'!E184,LN('Market Data - EQ'!E183/'Market Data - EQ'!E184)))</f>
        <v>-5.3538811178380848E-4</v>
      </c>
      <c r="K183" s="3">
        <f>IF('Value at Risk'!$C$5=0,'Market Data - EQ'!F183-'Market Data - EQ'!F184,IF('Value at Risk'!$C$6=0,('Market Data - EQ'!F183-'Market Data - EQ'!F184)/'Market Data - EQ'!F184,LN('Market Data - EQ'!F183/'Market Data - EQ'!F184)))</f>
        <v>-7.688329183581092E-3</v>
      </c>
      <c r="L183" s="8">
        <f t="shared" si="2"/>
        <v>-9.5380566674173797E-3</v>
      </c>
    </row>
    <row r="184" spans="1:12" x14ac:dyDescent="0.25">
      <c r="A184" s="5">
        <v>43557</v>
      </c>
      <c r="B184" s="4">
        <v>1147.4300539999999</v>
      </c>
      <c r="C184" s="4">
        <v>329</v>
      </c>
      <c r="D184" s="4">
        <v>397.14999399999999</v>
      </c>
      <c r="E184" s="4">
        <v>1774.5500489999999</v>
      </c>
      <c r="F184" s="4">
        <v>767.40002400000003</v>
      </c>
      <c r="G184" s="3">
        <f>IF('Value at Risk'!$C$5=0,'Market Data - EQ'!B184-'Market Data - EQ'!B185,IF('Value at Risk'!$C$6=0,('Market Data - EQ'!B184-'Market Data - EQ'!B185)/'Market Data - EQ'!B185,LN('Market Data - EQ'!B184/'Market Data - EQ'!B185)))</f>
        <v>-7.3275973908969337E-3</v>
      </c>
      <c r="H184" s="3">
        <f>IF('Value at Risk'!$C$5=0,'Market Data - EQ'!C184-'Market Data - EQ'!C185,IF('Value at Risk'!$C$6=0,('Market Data - EQ'!C184-'Market Data - EQ'!C185)/'Market Data - EQ'!C185,LN('Market Data - EQ'!C184/'Market Data - EQ'!C185)))</f>
        <v>1.9364833462432222E-2</v>
      </c>
      <c r="I184" s="3">
        <f>IF('Value at Risk'!$C$5=0,'Market Data - EQ'!D184-'Market Data - EQ'!D185,IF('Value at Risk'!$C$6=0,('Market Data - EQ'!D184-'Market Data - EQ'!D185)/'Market Data - EQ'!D185,LN('Market Data - EQ'!D184/'Market Data - EQ'!D185)))</f>
        <v>-2.7620991839297114E-3</v>
      </c>
      <c r="J184" s="3">
        <f>IF('Value at Risk'!$C$5=0,'Market Data - EQ'!E184-'Market Data - EQ'!E185,IF('Value at Risk'!$C$6=0,('Market Data - EQ'!E184-'Market Data - EQ'!E185)/'Market Data - EQ'!E185,LN('Market Data - EQ'!E184/'Market Data - EQ'!E185)))</f>
        <v>1.8071770238652512E-2</v>
      </c>
      <c r="K184" s="3">
        <f>IF('Value at Risk'!$C$5=0,'Market Data - EQ'!F184-'Market Data - EQ'!F185,IF('Value at Risk'!$C$6=0,('Market Data - EQ'!F184-'Market Data - EQ'!F185)/'Market Data - EQ'!F185,LN('Market Data - EQ'!F184/'Market Data - EQ'!F185)))</f>
        <v>2.3511599483123035E-3</v>
      </c>
      <c r="L184" s="8">
        <f t="shared" si="2"/>
        <v>5.9396134149140778E-3</v>
      </c>
    </row>
    <row r="185" spans="1:12" x14ac:dyDescent="0.25">
      <c r="A185" s="5">
        <v>43556</v>
      </c>
      <c r="B185" s="4">
        <v>1155.900024</v>
      </c>
      <c r="C185" s="4">
        <v>322.75</v>
      </c>
      <c r="D185" s="4">
        <v>398.25</v>
      </c>
      <c r="E185" s="4">
        <v>1743.0500489999999</v>
      </c>
      <c r="F185" s="4">
        <v>765.59997599999997</v>
      </c>
      <c r="G185" s="3">
        <f>IF('Value at Risk'!$C$5=0,'Market Data - EQ'!B185-'Market Data - EQ'!B186,IF('Value at Risk'!$C$6=0,('Market Data - EQ'!B185-'Market Data - EQ'!B186)/'Market Data - EQ'!B186,LN('Market Data - EQ'!B185/'Market Data - EQ'!B186)))</f>
        <v>3.9082854839336007E-3</v>
      </c>
      <c r="H185" s="3">
        <f>IF('Value at Risk'!$C$5=0,'Market Data - EQ'!C185-'Market Data - EQ'!C186,IF('Value at Risk'!$C$6=0,('Market Data - EQ'!C185-'Market Data - EQ'!C186)/'Market Data - EQ'!C186,LN('Market Data - EQ'!C185/'Market Data - EQ'!C186)))</f>
        <v>1.1755485893416929E-2</v>
      </c>
      <c r="I185" s="3">
        <f>IF('Value at Risk'!$C$5=0,'Market Data - EQ'!D185-'Market Data - EQ'!D186,IF('Value at Risk'!$C$6=0,('Market Data - EQ'!D185-'Market Data - EQ'!D186)/'Market Data - EQ'!D186,LN('Market Data - EQ'!D185/'Market Data - EQ'!D186)))</f>
        <v>-5.7420748193855514E-3</v>
      </c>
      <c r="J185" s="3">
        <f>IF('Value at Risk'!$C$5=0,'Market Data - EQ'!E185-'Market Data - EQ'!E186,IF('Value at Risk'!$C$6=0,('Market Data - EQ'!E185-'Market Data - EQ'!E186)/'Market Data - EQ'!E186,LN('Market Data - EQ'!E185/'Market Data - EQ'!E186)))</f>
        <v>-4.2858672246778411E-2</v>
      </c>
      <c r="K185" s="3">
        <f>IF('Value at Risk'!$C$5=0,'Market Data - EQ'!F185-'Market Data - EQ'!F186,IF('Value at Risk'!$C$6=0,('Market Data - EQ'!F185-'Market Data - EQ'!F186)/'Market Data - EQ'!F186,LN('Market Data - EQ'!F185/'Market Data - EQ'!F186)))</f>
        <v>-1.9341662313180605E-2</v>
      </c>
      <c r="L185" s="8">
        <f t="shared" si="2"/>
        <v>-1.0455727600398807E-2</v>
      </c>
    </row>
    <row r="186" spans="1:12" x14ac:dyDescent="0.25">
      <c r="A186" s="5">
        <v>43552</v>
      </c>
      <c r="B186" s="4">
        <v>1151.400024</v>
      </c>
      <c r="C186" s="4">
        <v>319</v>
      </c>
      <c r="D186" s="4">
        <v>400.54998799999998</v>
      </c>
      <c r="E186" s="4">
        <v>1821.099976</v>
      </c>
      <c r="F186" s="4">
        <v>780.70001200000002</v>
      </c>
      <c r="G186" s="3">
        <f>IF('Value at Risk'!$C$5=0,'Market Data - EQ'!B186-'Market Data - EQ'!B187,IF('Value at Risk'!$C$6=0,('Market Data - EQ'!B186-'Market Data - EQ'!B187)/'Market Data - EQ'!B187,LN('Market Data - EQ'!B186/'Market Data - EQ'!B187)))</f>
        <v>1.46127147686125E-3</v>
      </c>
      <c r="H186" s="3">
        <f>IF('Value at Risk'!$C$5=0,'Market Data - EQ'!C186-'Market Data - EQ'!C187,IF('Value at Risk'!$C$6=0,('Market Data - EQ'!C186-'Market Data - EQ'!C187)/'Market Data - EQ'!C187,LN('Market Data - EQ'!C186/'Market Data - EQ'!C187)))</f>
        <v>3.3031128226598296E-2</v>
      </c>
      <c r="I186" s="3">
        <f>IF('Value at Risk'!$C$5=0,'Market Data - EQ'!D186-'Market Data - EQ'!D187,IF('Value at Risk'!$C$6=0,('Market Data - EQ'!D186-'Market Data - EQ'!D187)/'Market Data - EQ'!D187,LN('Market Data - EQ'!D186/'Market Data - EQ'!D187)))</f>
        <v>1.8692715604494869E-2</v>
      </c>
      <c r="J186" s="3">
        <f>IF('Value at Risk'!$C$5=0,'Market Data - EQ'!E186-'Market Data - EQ'!E187,IF('Value at Risk'!$C$6=0,('Market Data - EQ'!E186-'Market Data - EQ'!E187)/'Market Data - EQ'!E187,LN('Market Data - EQ'!E186/'Market Data - EQ'!E187)))</f>
        <v>9.3390472495496583E-3</v>
      </c>
      <c r="K186" s="3">
        <f>IF('Value at Risk'!$C$5=0,'Market Data - EQ'!F186-'Market Data - EQ'!F187,IF('Value at Risk'!$C$6=0,('Market Data - EQ'!F186-'Market Data - EQ'!F187)/'Market Data - EQ'!F187,LN('Market Data - EQ'!F186/'Market Data - EQ'!F187)))</f>
        <v>2.8183885602800815E-2</v>
      </c>
      <c r="L186" s="8">
        <f t="shared" si="2"/>
        <v>1.8141609632060979E-2</v>
      </c>
    </row>
    <row r="187" spans="1:12" x14ac:dyDescent="0.25">
      <c r="A187" s="5">
        <v>43551</v>
      </c>
      <c r="B187" s="4">
        <v>1149.719971</v>
      </c>
      <c r="C187" s="4">
        <v>308.79998799999998</v>
      </c>
      <c r="D187" s="4">
        <v>393.20001200000002</v>
      </c>
      <c r="E187" s="4">
        <v>1804.25</v>
      </c>
      <c r="F187" s="4">
        <v>759.29998799999998</v>
      </c>
      <c r="G187" s="3">
        <f>IF('Value at Risk'!$C$5=0,'Market Data - EQ'!B187-'Market Data - EQ'!B188,IF('Value at Risk'!$C$6=0,('Market Data - EQ'!B187-'Market Data - EQ'!B188)/'Market Data - EQ'!B188,LN('Market Data - EQ'!B187/'Market Data - EQ'!B188)))</f>
        <v>-5.1572085019301901E-3</v>
      </c>
      <c r="H187" s="3">
        <f>IF('Value at Risk'!$C$5=0,'Market Data - EQ'!C187-'Market Data - EQ'!C188,IF('Value at Risk'!$C$6=0,('Market Data - EQ'!C187-'Market Data - EQ'!C188)/'Market Data - EQ'!C188,LN('Market Data - EQ'!C187/'Market Data - EQ'!C188)))</f>
        <v>1.7462892915980181E-2</v>
      </c>
      <c r="I187" s="3">
        <f>IF('Value at Risk'!$C$5=0,'Market Data - EQ'!D187-'Market Data - EQ'!D188,IF('Value at Risk'!$C$6=0,('Market Data - EQ'!D187-'Market Data - EQ'!D188)/'Market Data - EQ'!D188,LN('Market Data - EQ'!D187/'Market Data - EQ'!D188)))</f>
        <v>-2.2836690847449323E-3</v>
      </c>
      <c r="J187" s="3">
        <f>IF('Value at Risk'!$C$5=0,'Market Data - EQ'!E187-'Market Data - EQ'!E188,IF('Value at Risk'!$C$6=0,('Market Data - EQ'!E187-'Market Data - EQ'!E188)/'Market Data - EQ'!E188,LN('Market Data - EQ'!E187/'Market Data - EQ'!E188)))</f>
        <v>5.2255547631217349E-2</v>
      </c>
      <c r="K187" s="3">
        <f>IF('Value at Risk'!$C$5=0,'Market Data - EQ'!F187-'Market Data - EQ'!F188,IF('Value at Risk'!$C$6=0,('Market Data - EQ'!F187-'Market Data - EQ'!F188)/'Market Data - EQ'!F188,LN('Market Data - EQ'!F187/'Market Data - EQ'!F188)))</f>
        <v>2.9058408000795068E-3</v>
      </c>
      <c r="L187" s="8">
        <f t="shared" si="2"/>
        <v>1.3036680752120383E-2</v>
      </c>
    </row>
    <row r="188" spans="1:12" x14ac:dyDescent="0.25">
      <c r="A188" s="5">
        <v>43550</v>
      </c>
      <c r="B188" s="4">
        <v>1155.6800539999999</v>
      </c>
      <c r="C188" s="4">
        <v>303.5</v>
      </c>
      <c r="D188" s="4">
        <v>394.10000600000001</v>
      </c>
      <c r="E188" s="4">
        <v>1714.650024</v>
      </c>
      <c r="F188" s="4">
        <v>757.09997599999997</v>
      </c>
      <c r="G188" s="3">
        <f>IF('Value at Risk'!$C$5=0,'Market Data - EQ'!B188-'Market Data - EQ'!B189,IF('Value at Risk'!$C$6=0,('Market Data - EQ'!B188-'Market Data - EQ'!B189)/'Market Data - EQ'!B189,LN('Market Data - EQ'!B188/'Market Data - EQ'!B189)))</f>
        <v>1.317672352058785E-2</v>
      </c>
      <c r="H188" s="3">
        <f>IF('Value at Risk'!$C$5=0,'Market Data - EQ'!C188-'Market Data - EQ'!C189,IF('Value at Risk'!$C$6=0,('Market Data - EQ'!C188-'Market Data - EQ'!C189)/'Market Data - EQ'!C189,LN('Market Data - EQ'!C188/'Market Data - EQ'!C189)))</f>
        <v>3.2312925170068028E-2</v>
      </c>
      <c r="I188" s="3">
        <f>IF('Value at Risk'!$C$5=0,'Market Data - EQ'!D188-'Market Data - EQ'!D189,IF('Value at Risk'!$C$6=0,('Market Data - EQ'!D188-'Market Data - EQ'!D189)/'Market Data - EQ'!D189,LN('Market Data - EQ'!D188/'Market Data - EQ'!D189)))</f>
        <v>2.7640172099087375E-2</v>
      </c>
      <c r="J188" s="3">
        <f>IF('Value at Risk'!$C$5=0,'Market Data - EQ'!E188-'Market Data - EQ'!E189,IF('Value at Risk'!$C$6=0,('Market Data - EQ'!E188-'Market Data - EQ'!E189)/'Market Data - EQ'!E189,LN('Market Data - EQ'!E188/'Market Data - EQ'!E189)))</f>
        <v>1.8472854441406682E-2</v>
      </c>
      <c r="K188" s="3">
        <f>IF('Value at Risk'!$C$5=0,'Market Data - EQ'!F188-'Market Data - EQ'!F189,IF('Value at Risk'!$C$6=0,('Market Data - EQ'!F188-'Market Data - EQ'!F189)/'Market Data - EQ'!F189,LN('Market Data - EQ'!F188/'Market Data - EQ'!F189)))</f>
        <v>1.5287600665882722E-2</v>
      </c>
      <c r="L188" s="8">
        <f t="shared" si="2"/>
        <v>2.1378055179406531E-2</v>
      </c>
    </row>
    <row r="189" spans="1:12" x14ac:dyDescent="0.25">
      <c r="A189" s="5">
        <v>43549</v>
      </c>
      <c r="B189" s="4">
        <v>1140.650024</v>
      </c>
      <c r="C189" s="4">
        <v>294</v>
      </c>
      <c r="D189" s="4">
        <v>383.5</v>
      </c>
      <c r="E189" s="4">
        <v>1683.5500489999999</v>
      </c>
      <c r="F189" s="4">
        <v>745.70001200000002</v>
      </c>
      <c r="G189" s="3">
        <f>IF('Value at Risk'!$C$5=0,'Market Data - EQ'!B189-'Market Data - EQ'!B190,IF('Value at Risk'!$C$6=0,('Market Data - EQ'!B189-'Market Data - EQ'!B190)/'Market Data - EQ'!B190,LN('Market Data - EQ'!B189/'Market Data - EQ'!B190)))</f>
        <v>2.2670645236421679E-3</v>
      </c>
      <c r="H189" s="3">
        <f>IF('Value at Risk'!$C$5=0,'Market Data - EQ'!C189-'Market Data - EQ'!C190,IF('Value at Risk'!$C$6=0,('Market Data - EQ'!C189-'Market Data - EQ'!C190)/'Market Data - EQ'!C190,LN('Market Data - EQ'!C189/'Market Data - EQ'!C190)))</f>
        <v>-1.3588284392079845E-2</v>
      </c>
      <c r="I189" s="3">
        <f>IF('Value at Risk'!$C$5=0,'Market Data - EQ'!D189-'Market Data - EQ'!D190,IF('Value at Risk'!$C$6=0,('Market Data - EQ'!D189-'Market Data - EQ'!D190)/'Market Data - EQ'!D190,LN('Market Data - EQ'!D189/'Market Data - EQ'!D190)))</f>
        <v>-2.1184247713657369E-2</v>
      </c>
      <c r="J189" s="3">
        <f>IF('Value at Risk'!$C$5=0,'Market Data - EQ'!E189-'Market Data - EQ'!E190,IF('Value at Risk'!$C$6=0,('Market Data - EQ'!E189-'Market Data - EQ'!E190)/'Market Data - EQ'!E190,LN('Market Data - EQ'!E189/'Market Data - EQ'!E190)))</f>
        <v>-8.8601949915487494E-3</v>
      </c>
      <c r="K189" s="3">
        <f>IF('Value at Risk'!$C$5=0,'Market Data - EQ'!F189-'Market Data - EQ'!F190,IF('Value at Risk'!$C$6=0,('Market Data - EQ'!F189-'Market Data - EQ'!F190)/'Market Data - EQ'!F190,LN('Market Data - EQ'!F189/'Market Data - EQ'!F190)))</f>
        <v>-1.4992373264524734E-2</v>
      </c>
      <c r="L189" s="8">
        <f t="shared" si="2"/>
        <v>-1.1271607167633705E-2</v>
      </c>
    </row>
    <row r="190" spans="1:12" x14ac:dyDescent="0.25">
      <c r="A190" s="5">
        <v>43546</v>
      </c>
      <c r="B190" s="4">
        <v>1138.0699460000001</v>
      </c>
      <c r="C190" s="4">
        <v>298.04998799999998</v>
      </c>
      <c r="D190" s="4">
        <v>391.79998799999998</v>
      </c>
      <c r="E190" s="4">
        <v>1698.599976</v>
      </c>
      <c r="F190" s="4">
        <v>757.04998799999998</v>
      </c>
      <c r="G190" s="3">
        <f>IF('Value at Risk'!$C$5=0,'Market Data - EQ'!B190-'Market Data - EQ'!B191,IF('Value at Risk'!$C$6=0,('Market Data - EQ'!B190-'Market Data - EQ'!B191)/'Market Data - EQ'!B191,LN('Market Data - EQ'!B190/'Market Data - EQ'!B191)))</f>
        <v>-9.9435006524575265E-3</v>
      </c>
      <c r="H190" s="3">
        <f>IF('Value at Risk'!$C$5=0,'Market Data - EQ'!C190-'Market Data - EQ'!C191,IF('Value at Risk'!$C$6=0,('Market Data - EQ'!C190-'Market Data - EQ'!C191)/'Market Data - EQ'!C191,LN('Market Data - EQ'!C190/'Market Data - EQ'!C191)))</f>
        <v>-1.8926926356560621E-2</v>
      </c>
      <c r="I190" s="3">
        <f>IF('Value at Risk'!$C$5=0,'Market Data - EQ'!D190-'Market Data - EQ'!D191,IF('Value at Risk'!$C$6=0,('Market Data - EQ'!D190-'Market Data - EQ'!D191)/'Market Data - EQ'!D191,LN('Market Data - EQ'!D190/'Market Data - EQ'!D191)))</f>
        <v>-2.7997098925891242E-3</v>
      </c>
      <c r="J190" s="3">
        <f>IF('Value at Risk'!$C$5=0,'Market Data - EQ'!E190-'Market Data - EQ'!E191,IF('Value at Risk'!$C$6=0,('Market Data - EQ'!E190-'Market Data - EQ'!E191)/'Market Data - EQ'!E191,LN('Market Data - EQ'!E190/'Market Data - EQ'!E191)))</f>
        <v>-8.6378240881827256E-3</v>
      </c>
      <c r="K190" s="3">
        <f>IF('Value at Risk'!$C$5=0,'Market Data - EQ'!F190-'Market Data - EQ'!F191,IF('Value at Risk'!$C$6=0,('Market Data - EQ'!F190-'Market Data - EQ'!F191)/'Market Data - EQ'!F191,LN('Market Data - EQ'!F190/'Market Data - EQ'!F191)))</f>
        <v>1.7201296725107308E-3</v>
      </c>
      <c r="L190" s="8">
        <f t="shared" si="2"/>
        <v>-7.7175662634558538E-3</v>
      </c>
    </row>
    <row r="191" spans="1:12" x14ac:dyDescent="0.25">
      <c r="A191" s="5">
        <v>43544</v>
      </c>
      <c r="B191" s="4">
        <v>1149.5</v>
      </c>
      <c r="C191" s="4">
        <v>303.79998799999998</v>
      </c>
      <c r="D191" s="4">
        <v>392.89999399999999</v>
      </c>
      <c r="E191" s="4">
        <v>1713.400024</v>
      </c>
      <c r="F191" s="4">
        <v>755.75</v>
      </c>
      <c r="G191" s="3">
        <f>IF('Value at Risk'!$C$5=0,'Market Data - EQ'!B191-'Market Data - EQ'!B192,IF('Value at Risk'!$C$6=0,('Market Data - EQ'!B191-'Market Data - EQ'!B192)/'Market Data - EQ'!B192,LN('Market Data - EQ'!B191/'Market Data - EQ'!B192)))</f>
        <v>1.3775703717431738E-2</v>
      </c>
      <c r="H191" s="3">
        <f>IF('Value at Risk'!$C$5=0,'Market Data - EQ'!C191-'Market Data - EQ'!C192,IF('Value at Risk'!$C$6=0,('Market Data - EQ'!C191-'Market Data - EQ'!C192)/'Market Data - EQ'!C192,LN('Market Data - EQ'!C191/'Market Data - EQ'!C192)))</f>
        <v>2.4748392334534592E-3</v>
      </c>
      <c r="I191" s="3">
        <f>IF('Value at Risk'!$C$5=0,'Market Data - EQ'!D191-'Market Data - EQ'!D192,IF('Value at Risk'!$C$6=0,('Market Data - EQ'!D191-'Market Data - EQ'!D192)/'Market Data - EQ'!D192,LN('Market Data - EQ'!D191/'Market Data - EQ'!D192)))</f>
        <v>-1.3805221091444093E-2</v>
      </c>
      <c r="J191" s="3">
        <f>IF('Value at Risk'!$C$5=0,'Market Data - EQ'!E191-'Market Data - EQ'!E192,IF('Value at Risk'!$C$6=0,('Market Data - EQ'!E191-'Market Data - EQ'!E192)/'Market Data - EQ'!E192,LN('Market Data - EQ'!E191/'Market Data - EQ'!E192)))</f>
        <v>-6.8397445717293696E-3</v>
      </c>
      <c r="K191" s="3">
        <f>IF('Value at Risk'!$C$5=0,'Market Data - EQ'!F191-'Market Data - EQ'!F192,IF('Value at Risk'!$C$6=0,('Market Data - EQ'!F191-'Market Data - EQ'!F192)/'Market Data - EQ'!F192,LN('Market Data - EQ'!F191/'Market Data - EQ'!F192)))</f>
        <v>-6.768332024655095E-3</v>
      </c>
      <c r="L191" s="8">
        <f t="shared" si="2"/>
        <v>-2.2325509473886721E-3</v>
      </c>
    </row>
    <row r="192" spans="1:12" x14ac:dyDescent="0.25">
      <c r="A192" s="5">
        <v>43543</v>
      </c>
      <c r="B192" s="4">
        <v>1133.880005</v>
      </c>
      <c r="C192" s="4">
        <v>303.04998799999998</v>
      </c>
      <c r="D192" s="4">
        <v>398.39999399999999</v>
      </c>
      <c r="E192" s="4">
        <v>1725.1999510000001</v>
      </c>
      <c r="F192" s="4">
        <v>760.90002400000003</v>
      </c>
      <c r="G192" s="3">
        <f>IF('Value at Risk'!$C$5=0,'Market Data - EQ'!B192-'Market Data - EQ'!B193,IF('Value at Risk'!$C$6=0,('Market Data - EQ'!B192-'Market Data - EQ'!B193)/'Market Data - EQ'!B193,LN('Market Data - EQ'!B192/'Market Data - EQ'!B193)))</f>
        <v>2.7947096372634918E-3</v>
      </c>
      <c r="H192" s="3">
        <f>IF('Value at Risk'!$C$5=0,'Market Data - EQ'!C192-'Market Data - EQ'!C193,IF('Value at Risk'!$C$6=0,('Market Data - EQ'!C192-'Market Data - EQ'!C193)/'Market Data - EQ'!C193,LN('Market Data - EQ'!C192/'Market Data - EQ'!C193)))</f>
        <v>1.3714587173189241E-2</v>
      </c>
      <c r="I192" s="3">
        <f>IF('Value at Risk'!$C$5=0,'Market Data - EQ'!D192-'Market Data - EQ'!D193,IF('Value at Risk'!$C$6=0,('Market Data - EQ'!D192-'Market Data - EQ'!D193)/'Market Data - EQ'!D193,LN('Market Data - EQ'!D192/'Market Data - EQ'!D193)))</f>
        <v>8.7930162178527082E-4</v>
      </c>
      <c r="J192" s="3">
        <f>IF('Value at Risk'!$C$5=0,'Market Data - EQ'!E192-'Market Data - EQ'!E193,IF('Value at Risk'!$C$6=0,('Market Data - EQ'!E192-'Market Data - EQ'!E193)/'Market Data - EQ'!E193,LN('Market Data - EQ'!E192/'Market Data - EQ'!E193)))</f>
        <v>5.4784367243016158E-3</v>
      </c>
      <c r="K192" s="3">
        <f>IF('Value at Risk'!$C$5=0,'Market Data - EQ'!F192-'Market Data - EQ'!F193,IF('Value at Risk'!$C$6=0,('Market Data - EQ'!F192-'Market Data - EQ'!F193)/'Market Data - EQ'!F193,LN('Market Data - EQ'!F192/'Market Data - EQ'!F193)))</f>
        <v>1.8607796519411017E-2</v>
      </c>
      <c r="L192" s="8">
        <f t="shared" si="2"/>
        <v>8.2949663351901265E-3</v>
      </c>
    </row>
    <row r="193" spans="1:12" x14ac:dyDescent="0.25">
      <c r="A193" s="5">
        <v>43542</v>
      </c>
      <c r="B193" s="4">
        <v>1130.719971</v>
      </c>
      <c r="C193" s="4">
        <v>298.95001200000002</v>
      </c>
      <c r="D193" s="4">
        <v>398.04998799999998</v>
      </c>
      <c r="E193" s="4">
        <v>1715.8000489999999</v>
      </c>
      <c r="F193" s="4">
        <v>747</v>
      </c>
      <c r="G193" s="3">
        <f>IF('Value at Risk'!$C$5=0,'Market Data - EQ'!B193-'Market Data - EQ'!B194,IF('Value at Risk'!$C$6=0,('Market Data - EQ'!B193-'Market Data - EQ'!B194)/'Market Data - EQ'!B194,LN('Market Data - EQ'!B193/'Market Data - EQ'!B194)))</f>
        <v>3.7460905459387366E-3</v>
      </c>
      <c r="H193" s="3">
        <f>IF('Value at Risk'!$C$5=0,'Market Data - EQ'!C193-'Market Data - EQ'!C194,IF('Value at Risk'!$C$6=0,('Market Data - EQ'!C193-'Market Data - EQ'!C194)/'Market Data - EQ'!C194,LN('Market Data - EQ'!C193/'Market Data - EQ'!C194)))</f>
        <v>1.8432238976520314E-3</v>
      </c>
      <c r="I193" s="3">
        <f>IF('Value at Risk'!$C$5=0,'Market Data - EQ'!D193-'Market Data - EQ'!D194,IF('Value at Risk'!$C$6=0,('Market Data - EQ'!D193-'Market Data - EQ'!D194)/'Market Data - EQ'!D194,LN('Market Data - EQ'!D193/'Market Data - EQ'!D194)))</f>
        <v>6.9567419263367146E-3</v>
      </c>
      <c r="J193" s="3">
        <f>IF('Value at Risk'!$C$5=0,'Market Data - EQ'!E193-'Market Data - EQ'!E194,IF('Value at Risk'!$C$6=0,('Market Data - EQ'!E193-'Market Data - EQ'!E194)/'Market Data - EQ'!E194,LN('Market Data - EQ'!E193/'Market Data - EQ'!E194)))</f>
        <v>7.3682953177748095E-3</v>
      </c>
      <c r="K193" s="3">
        <f>IF('Value at Risk'!$C$5=0,'Market Data - EQ'!F193-'Market Data - EQ'!F194,IF('Value at Risk'!$C$6=0,('Market Data - EQ'!F193-'Market Data - EQ'!F194)/'Market Data - EQ'!F194,LN('Market Data - EQ'!F193/'Market Data - EQ'!F194)))</f>
        <v>1.6188306881403068E-2</v>
      </c>
      <c r="L193" s="8">
        <f t="shared" si="2"/>
        <v>7.2205317138210713E-3</v>
      </c>
    </row>
    <row r="194" spans="1:12" x14ac:dyDescent="0.25">
      <c r="A194" s="5">
        <v>43539</v>
      </c>
      <c r="B194" s="4">
        <v>1126.5</v>
      </c>
      <c r="C194" s="4">
        <v>298.39999399999999</v>
      </c>
      <c r="D194" s="4">
        <v>395.29998799999998</v>
      </c>
      <c r="E194" s="4">
        <v>1703.25</v>
      </c>
      <c r="F194" s="4">
        <v>735.09997599999997</v>
      </c>
      <c r="G194" s="3">
        <f>IF('Value at Risk'!$C$5=0,'Market Data - EQ'!B194-'Market Data - EQ'!B195,IF('Value at Risk'!$C$6=0,('Market Data - EQ'!B194-'Market Data - EQ'!B195)/'Market Data - EQ'!B195,LN('Market Data - EQ'!B194/'Market Data - EQ'!B195)))</f>
        <v>1.2693499466488537E-2</v>
      </c>
      <c r="H194" s="3">
        <f>IF('Value at Risk'!$C$5=0,'Market Data - EQ'!C194-'Market Data - EQ'!C195,IF('Value at Risk'!$C$6=0,('Market Data - EQ'!C194-'Market Data - EQ'!C195)/'Market Data - EQ'!C195,LN('Market Data - EQ'!C194/'Market Data - EQ'!C195)))</f>
        <v>2.2267900423458043E-2</v>
      </c>
      <c r="I194" s="3">
        <f>IF('Value at Risk'!$C$5=0,'Market Data - EQ'!D194-'Market Data - EQ'!D195,IF('Value at Risk'!$C$6=0,('Market Data - EQ'!D194-'Market Data - EQ'!D195)/'Market Data - EQ'!D195,LN('Market Data - EQ'!D194/'Market Data - EQ'!D195)))</f>
        <v>1.9077066549271441E-2</v>
      </c>
      <c r="J194" s="3">
        <f>IF('Value at Risk'!$C$5=0,'Market Data - EQ'!E194-'Market Data - EQ'!E195,IF('Value at Risk'!$C$6=0,('Market Data - EQ'!E194-'Market Data - EQ'!E195)/'Market Data - EQ'!E195,LN('Market Data - EQ'!E194/'Market Data - EQ'!E195)))</f>
        <v>1.221254507542322E-2</v>
      </c>
      <c r="K194" s="3">
        <f>IF('Value at Risk'!$C$5=0,'Market Data - EQ'!F194-'Market Data - EQ'!F195,IF('Value at Risk'!$C$6=0,('Market Data - EQ'!F194-'Market Data - EQ'!F195)/'Market Data - EQ'!F195,LN('Market Data - EQ'!F194/'Market Data - EQ'!F195)))</f>
        <v>-7.4264112587548881E-3</v>
      </c>
      <c r="L194" s="8">
        <f t="shared" si="2"/>
        <v>1.1764920051177269E-2</v>
      </c>
    </row>
    <row r="195" spans="1:12" x14ac:dyDescent="0.25">
      <c r="A195" s="5">
        <v>43538</v>
      </c>
      <c r="B195" s="4">
        <v>1112.380005</v>
      </c>
      <c r="C195" s="4">
        <v>291.89999399999999</v>
      </c>
      <c r="D195" s="4">
        <v>387.89999399999999</v>
      </c>
      <c r="E195" s="4">
        <v>1682.6999510000001</v>
      </c>
      <c r="F195" s="4">
        <v>740.59997599999997</v>
      </c>
      <c r="G195" s="3">
        <f>IF('Value at Risk'!$C$5=0,'Market Data - EQ'!B195-'Market Data - EQ'!B196,IF('Value at Risk'!$C$6=0,('Market Data - EQ'!B195-'Market Data - EQ'!B196)/'Market Data - EQ'!B196,LN('Market Data - EQ'!B195/'Market Data - EQ'!B196)))</f>
        <v>-8.0844349719313101E-4</v>
      </c>
      <c r="H195" s="3">
        <f>IF('Value at Risk'!$C$5=0,'Market Data - EQ'!C195-'Market Data - EQ'!C196,IF('Value at Risk'!$C$6=0,('Market Data - EQ'!C195-'Market Data - EQ'!C196)/'Market Data - EQ'!C196,LN('Market Data - EQ'!C195/'Market Data - EQ'!C196)))</f>
        <v>-4.264028741545872E-3</v>
      </c>
      <c r="I195" s="3">
        <f>IF('Value at Risk'!$C$5=0,'Market Data - EQ'!D195-'Market Data - EQ'!D196,IF('Value at Risk'!$C$6=0,('Market Data - EQ'!D195-'Market Data - EQ'!D196)/'Market Data - EQ'!D196,LN('Market Data - EQ'!D195/'Market Data - EQ'!D196)))</f>
        <v>-1.0206685535187837E-2</v>
      </c>
      <c r="J195" s="3">
        <f>IF('Value at Risk'!$C$5=0,'Market Data - EQ'!E195-'Market Data - EQ'!E196,IF('Value at Risk'!$C$6=0,('Market Data - EQ'!E195-'Market Data - EQ'!E196)/'Market Data - EQ'!E196,LN('Market Data - EQ'!E195/'Market Data - EQ'!E196)))</f>
        <v>2.8325221181168696E-2</v>
      </c>
      <c r="K195" s="3">
        <f>IF('Value at Risk'!$C$5=0,'Market Data - EQ'!F195-'Market Data - EQ'!F196,IF('Value at Risk'!$C$6=0,('Market Data - EQ'!F195-'Market Data - EQ'!F196)/'Market Data - EQ'!F196,LN('Market Data - EQ'!F195/'Market Data - EQ'!F196)))</f>
        <v>3.5230027100270592E-3</v>
      </c>
      <c r="L195" s="8">
        <f t="shared" si="2"/>
        <v>3.3138132234537829E-3</v>
      </c>
    </row>
    <row r="196" spans="1:12" x14ac:dyDescent="0.25">
      <c r="A196" s="5">
        <v>43537</v>
      </c>
      <c r="B196" s="4">
        <v>1113.280029</v>
      </c>
      <c r="C196" s="4">
        <v>293.14999399999999</v>
      </c>
      <c r="D196" s="4">
        <v>391.89999399999999</v>
      </c>
      <c r="E196" s="4">
        <v>1636.349976</v>
      </c>
      <c r="F196" s="4">
        <v>738</v>
      </c>
      <c r="G196" s="3">
        <f>IF('Value at Risk'!$C$5=0,'Market Data - EQ'!B196-'Market Data - EQ'!B197,IF('Value at Risk'!$C$6=0,('Market Data - EQ'!B196-'Market Data - EQ'!B197)/'Market Data - EQ'!B197,LN('Market Data - EQ'!B196/'Market Data - EQ'!B197)))</f>
        <v>2.55919198526025E-2</v>
      </c>
      <c r="H196" s="3">
        <f>IF('Value at Risk'!$C$5=0,'Market Data - EQ'!C196-'Market Data - EQ'!C197,IF('Value at Risk'!$C$6=0,('Market Data - EQ'!C196-'Market Data - EQ'!C197)/'Market Data - EQ'!C197,LN('Market Data - EQ'!C196/'Market Data - EQ'!C197)))</f>
        <v>2.1784594390754849E-2</v>
      </c>
      <c r="I196" s="3">
        <f>IF('Value at Risk'!$C$5=0,'Market Data - EQ'!D196-'Market Data - EQ'!D197,IF('Value at Risk'!$C$6=0,('Market Data - EQ'!D196-'Market Data - EQ'!D197)/'Market Data - EQ'!D197,LN('Market Data - EQ'!D196/'Market Data - EQ'!D197)))</f>
        <v>9.5311228377807904E-3</v>
      </c>
      <c r="J196" s="3">
        <f>IF('Value at Risk'!$C$5=0,'Market Data - EQ'!E196-'Market Data - EQ'!E197,IF('Value at Risk'!$C$6=0,('Market Data - EQ'!E196-'Market Data - EQ'!E197)/'Market Data - EQ'!E197,LN('Market Data - EQ'!E196/'Market Data - EQ'!E197)))</f>
        <v>4.2892148050275497E-2</v>
      </c>
      <c r="K196" s="3">
        <f>IF('Value at Risk'!$C$5=0,'Market Data - EQ'!F196-'Market Data - EQ'!F197,IF('Value at Risk'!$C$6=0,('Market Data - EQ'!F196-'Market Data - EQ'!F197)/'Market Data - EQ'!F197,LN('Market Data - EQ'!F196/'Market Data - EQ'!F197)))</f>
        <v>-6.1275174379236338E-3</v>
      </c>
      <c r="L196" s="8">
        <f t="shared" ref="L196:L259" si="3">AVERAGE(G196:K196)</f>
        <v>1.8734453538697998E-2</v>
      </c>
    </row>
    <row r="197" spans="1:12" x14ac:dyDescent="0.25">
      <c r="A197" s="5">
        <v>43536</v>
      </c>
      <c r="B197" s="4">
        <v>1085.5</v>
      </c>
      <c r="C197" s="4">
        <v>286.89999399999999</v>
      </c>
      <c r="D197" s="4">
        <v>388.20001200000002</v>
      </c>
      <c r="E197" s="4">
        <v>1569.0500489999999</v>
      </c>
      <c r="F197" s="4">
        <v>742.54998799999998</v>
      </c>
      <c r="G197" s="3">
        <f>IF('Value at Risk'!$C$5=0,'Market Data - EQ'!B197-'Market Data - EQ'!B198,IF('Value at Risk'!$C$6=0,('Market Data - EQ'!B197-'Market Data - EQ'!B198)/'Market Data - EQ'!B198,LN('Market Data - EQ'!B197/'Market Data - EQ'!B198)))</f>
        <v>1.9995893311421434E-2</v>
      </c>
      <c r="H197" s="3">
        <f>IF('Value at Risk'!$C$5=0,'Market Data - EQ'!C197-'Market Data - EQ'!C198,IF('Value at Risk'!$C$6=0,('Market Data - EQ'!C197-'Market Data - EQ'!C198)/'Market Data - EQ'!C198,LN('Market Data - EQ'!C197/'Market Data - EQ'!C198)))</f>
        <v>-1.5660761809763637E-3</v>
      </c>
      <c r="I197" s="3">
        <f>IF('Value at Risk'!$C$5=0,'Market Data - EQ'!D197-'Market Data - EQ'!D198,IF('Value at Risk'!$C$6=0,('Market Data - EQ'!D197-'Market Data - EQ'!D198)/'Market Data - EQ'!D198,LN('Market Data - EQ'!D197/'Market Data - EQ'!D198)))</f>
        <v>3.2858868705193015E-2</v>
      </c>
      <c r="J197" s="3">
        <f>IF('Value at Risk'!$C$5=0,'Market Data - EQ'!E197-'Market Data - EQ'!E198,IF('Value at Risk'!$C$6=0,('Market Data - EQ'!E197-'Market Data - EQ'!E198)/'Market Data - EQ'!E198,LN('Market Data - EQ'!E197/'Market Data - EQ'!E198)))</f>
        <v>3.5950134598443949E-2</v>
      </c>
      <c r="K197" s="3">
        <f>IF('Value at Risk'!$C$5=0,'Market Data - EQ'!F197-'Market Data - EQ'!F198,IF('Value at Risk'!$C$6=0,('Market Data - EQ'!F197-'Market Data - EQ'!F198)/'Market Data - EQ'!F198,LN('Market Data - EQ'!F197/'Market Data - EQ'!F198)))</f>
        <v>1.0959820285908761E-2</v>
      </c>
      <c r="L197" s="8">
        <f t="shared" si="3"/>
        <v>1.9639728143998163E-2</v>
      </c>
    </row>
    <row r="198" spans="1:12" x14ac:dyDescent="0.25">
      <c r="A198" s="5">
        <v>43535</v>
      </c>
      <c r="B198" s="4">
        <v>1064.219971</v>
      </c>
      <c r="C198" s="4">
        <v>287.35000600000001</v>
      </c>
      <c r="D198" s="4">
        <v>375.85000600000001</v>
      </c>
      <c r="E198" s="4">
        <v>1514.599976</v>
      </c>
      <c r="F198" s="4">
        <v>734.5</v>
      </c>
      <c r="G198" s="3">
        <f>IF('Value at Risk'!$C$5=0,'Market Data - EQ'!B198-'Market Data - EQ'!B199,IF('Value at Risk'!$C$6=0,('Market Data - EQ'!B198-'Market Data - EQ'!B199)/'Market Data - EQ'!B199,LN('Market Data - EQ'!B198/'Market Data - EQ'!B199)))</f>
        <v>1.1276665981243963E-4</v>
      </c>
      <c r="H198" s="3">
        <f>IF('Value at Risk'!$C$5=0,'Market Data - EQ'!C198-'Market Data - EQ'!C199,IF('Value at Risk'!$C$6=0,('Market Data - EQ'!C198-'Market Data - EQ'!C199)/'Market Data - EQ'!C199,LN('Market Data - EQ'!C198/'Market Data - EQ'!C199)))</f>
        <v>2.1870532494856338E-2</v>
      </c>
      <c r="I198" s="3">
        <f>IF('Value at Risk'!$C$5=0,'Market Data - EQ'!D198-'Market Data - EQ'!D199,IF('Value at Risk'!$C$6=0,('Market Data - EQ'!D198-'Market Data - EQ'!D199)/'Market Data - EQ'!D199,LN('Market Data - EQ'!D198/'Market Data - EQ'!D199)))</f>
        <v>1.4166216716143281E-2</v>
      </c>
      <c r="J198" s="3">
        <f>IF('Value at Risk'!$C$5=0,'Market Data - EQ'!E198-'Market Data - EQ'!E199,IF('Value at Risk'!$C$6=0,('Market Data - EQ'!E198-'Market Data - EQ'!E199)/'Market Data - EQ'!E199,LN('Market Data - EQ'!E198/'Market Data - EQ'!E199)))</f>
        <v>-2.2398050065876355E-3</v>
      </c>
      <c r="K198" s="3">
        <f>IF('Value at Risk'!$C$5=0,'Market Data - EQ'!F198-'Market Data - EQ'!F199,IF('Value at Risk'!$C$6=0,('Market Data - EQ'!F198-'Market Data - EQ'!F199)/'Market Data - EQ'!F199,LN('Market Data - EQ'!F198/'Market Data - EQ'!F199)))</f>
        <v>1.499830875380459E-3</v>
      </c>
      <c r="L198" s="8">
        <f t="shared" si="3"/>
        <v>7.0819083479209764E-3</v>
      </c>
    </row>
    <row r="199" spans="1:12" x14ac:dyDescent="0.25">
      <c r="A199" s="5">
        <v>43532</v>
      </c>
      <c r="B199" s="4">
        <v>1064.099976</v>
      </c>
      <c r="C199" s="4">
        <v>281.20001200000002</v>
      </c>
      <c r="D199" s="4">
        <v>370.60000600000001</v>
      </c>
      <c r="E199" s="4">
        <v>1518</v>
      </c>
      <c r="F199" s="4">
        <v>733.40002400000003</v>
      </c>
      <c r="G199" s="3">
        <f>IF('Value at Risk'!$C$5=0,'Market Data - EQ'!B199-'Market Data - EQ'!B200,IF('Value at Risk'!$C$6=0,('Market Data - EQ'!B199-'Market Data - EQ'!B200)/'Market Data - EQ'!B200,LN('Market Data - EQ'!B199/'Market Data - EQ'!B200)))</f>
        <v>7.9941312015045351E-4</v>
      </c>
      <c r="H199" s="3">
        <f>IF('Value at Risk'!$C$5=0,'Market Data - EQ'!C199-'Market Data - EQ'!C200,IF('Value at Risk'!$C$6=0,('Market Data - EQ'!C199-'Market Data - EQ'!C200)/'Market Data - EQ'!C200,LN('Market Data - EQ'!C199/'Market Data - EQ'!C200)))</f>
        <v>-1.9520425909493693E-3</v>
      </c>
      <c r="I199" s="3">
        <f>IF('Value at Risk'!$C$5=0,'Market Data - EQ'!D199-'Market Data - EQ'!D200,IF('Value at Risk'!$C$6=0,('Market Data - EQ'!D199-'Market Data - EQ'!D200)/'Market Data - EQ'!D200,LN('Market Data - EQ'!D199/'Market Data - EQ'!D200)))</f>
        <v>-5.3932579954662043E-4</v>
      </c>
      <c r="J199" s="3">
        <f>IF('Value at Risk'!$C$5=0,'Market Data - EQ'!E199-'Market Data - EQ'!E200,IF('Value at Risk'!$C$6=0,('Market Data - EQ'!E199-'Market Data - EQ'!E200)/'Market Data - EQ'!E200,LN('Market Data - EQ'!E199/'Market Data - EQ'!E200)))</f>
        <v>-8.6530612244897966E-3</v>
      </c>
      <c r="K199" s="3">
        <f>IF('Value at Risk'!$C$5=0,'Market Data - EQ'!F199-'Market Data - EQ'!F200,IF('Value at Risk'!$C$6=0,('Market Data - EQ'!F199-'Market Data - EQ'!F200)/'Market Data - EQ'!F200,LN('Market Data - EQ'!F199/'Market Data - EQ'!F200)))</f>
        <v>-4.769689948892261E-4</v>
      </c>
      <c r="L199" s="8">
        <f t="shared" si="3"/>
        <v>-2.1643970979449119E-3</v>
      </c>
    </row>
    <row r="200" spans="1:12" x14ac:dyDescent="0.25">
      <c r="A200" s="5">
        <v>43531</v>
      </c>
      <c r="B200" s="4">
        <v>1063.25</v>
      </c>
      <c r="C200" s="4">
        <v>281.75</v>
      </c>
      <c r="D200" s="4">
        <v>370.79998799999998</v>
      </c>
      <c r="E200" s="4">
        <v>1531.25</v>
      </c>
      <c r="F200" s="4">
        <v>733.75</v>
      </c>
      <c r="G200" s="3">
        <f>IF('Value at Risk'!$C$5=0,'Market Data - EQ'!B200-'Market Data - EQ'!B201,IF('Value at Risk'!$C$6=0,('Market Data - EQ'!B200-'Market Data - EQ'!B201)/'Market Data - EQ'!B201,LN('Market Data - EQ'!B200/'Market Data - EQ'!B201)))</f>
        <v>1.0578646022215348E-2</v>
      </c>
      <c r="H200" s="3">
        <f>IF('Value at Risk'!$C$5=0,'Market Data - EQ'!C200-'Market Data - EQ'!C201,IF('Value at Risk'!$C$6=0,('Market Data - EQ'!C200-'Market Data - EQ'!C201)/'Market Data - EQ'!C201,LN('Market Data - EQ'!C200/'Market Data - EQ'!C201)))</f>
        <v>1.3124753402558332E-2</v>
      </c>
      <c r="I200" s="3">
        <f>IF('Value at Risk'!$C$5=0,'Market Data - EQ'!D200-'Market Data - EQ'!D201,IF('Value at Risk'!$C$6=0,('Market Data - EQ'!D200-'Market Data - EQ'!D201)/'Market Data - EQ'!D201,LN('Market Data - EQ'!D200/'Market Data - EQ'!D201)))</f>
        <v>-3.0918778408320908E-3</v>
      </c>
      <c r="J200" s="3">
        <f>IF('Value at Risk'!$C$5=0,'Market Data - EQ'!E200-'Market Data - EQ'!E201,IF('Value at Risk'!$C$6=0,('Market Data - EQ'!E200-'Market Data - EQ'!E201)/'Market Data - EQ'!E201,LN('Market Data - EQ'!E200/'Market Data - EQ'!E201)))</f>
        <v>-2.3454904754808231E-3</v>
      </c>
      <c r="K200" s="3">
        <f>IF('Value at Risk'!$C$5=0,'Market Data - EQ'!F200-'Market Data - EQ'!F201,IF('Value at Risk'!$C$6=0,('Market Data - EQ'!F200-'Market Data - EQ'!F201)/'Market Data - EQ'!F201,LN('Market Data - EQ'!F200/'Market Data - EQ'!F201)))</f>
        <v>1.8248715567539833E-2</v>
      </c>
      <c r="L200" s="8">
        <f t="shared" si="3"/>
        <v>7.3029493352001207E-3</v>
      </c>
    </row>
    <row r="201" spans="1:12" x14ac:dyDescent="0.25">
      <c r="A201" s="5">
        <v>43530</v>
      </c>
      <c r="B201" s="4">
        <v>1052.119995</v>
      </c>
      <c r="C201" s="4">
        <v>278.10000600000001</v>
      </c>
      <c r="D201" s="4">
        <v>371.95001200000002</v>
      </c>
      <c r="E201" s="4">
        <v>1534.849976</v>
      </c>
      <c r="F201" s="4">
        <v>720.59997599999997</v>
      </c>
      <c r="G201" s="3">
        <f>IF('Value at Risk'!$C$5=0,'Market Data - EQ'!B201-'Market Data - EQ'!B202,IF('Value at Risk'!$C$6=0,('Market Data - EQ'!B201-'Market Data - EQ'!B202)/'Market Data - EQ'!B202,LN('Market Data - EQ'!B201/'Market Data - EQ'!B202)))</f>
        <v>-1.3573669341644418E-3</v>
      </c>
      <c r="H201" s="3">
        <f>IF('Value at Risk'!$C$5=0,'Market Data - EQ'!C201-'Market Data - EQ'!C202,IF('Value at Risk'!$C$6=0,('Market Data - EQ'!C201-'Market Data - EQ'!C202)/'Market Data - EQ'!C202,LN('Market Data - EQ'!C201/'Market Data - EQ'!C202)))</f>
        <v>5.9685076085292136E-3</v>
      </c>
      <c r="I201" s="3">
        <f>IF('Value at Risk'!$C$5=0,'Market Data - EQ'!D201-'Market Data - EQ'!D202,IF('Value at Risk'!$C$6=0,('Market Data - EQ'!D201-'Market Data - EQ'!D202)/'Market Data - EQ'!D202,LN('Market Data - EQ'!D201/'Market Data - EQ'!D202)))</f>
        <v>2.3950480385409541E-2</v>
      </c>
      <c r="J201" s="3">
        <f>IF('Value at Risk'!$C$5=0,'Market Data - EQ'!E201-'Market Data - EQ'!E202,IF('Value at Risk'!$C$6=0,('Market Data - EQ'!E201-'Market Data - EQ'!E202)/'Market Data - EQ'!E202,LN('Market Data - EQ'!E201/'Market Data - EQ'!E202)))</f>
        <v>-4.3785677900140289E-3</v>
      </c>
      <c r="K201" s="3">
        <f>IF('Value at Risk'!$C$5=0,'Market Data - EQ'!F201-'Market Data - EQ'!F202,IF('Value at Risk'!$C$6=0,('Market Data - EQ'!F201-'Market Data - EQ'!F202)/'Market Data - EQ'!F202,LN('Market Data - EQ'!F201/'Market Data - EQ'!F202)))</f>
        <v>-1.5641024776575797E-2</v>
      </c>
      <c r="L201" s="8">
        <f t="shared" si="3"/>
        <v>1.7084056986368973E-3</v>
      </c>
    </row>
    <row r="202" spans="1:12" x14ac:dyDescent="0.25">
      <c r="A202" s="5">
        <v>43529</v>
      </c>
      <c r="B202" s="4">
        <v>1053.5500489999999</v>
      </c>
      <c r="C202" s="4">
        <v>276.45001200000002</v>
      </c>
      <c r="D202" s="4">
        <v>363.25</v>
      </c>
      <c r="E202" s="4">
        <v>1541.599976</v>
      </c>
      <c r="F202" s="4">
        <v>732.04998799999998</v>
      </c>
      <c r="G202" s="3">
        <f>IF('Value at Risk'!$C$5=0,'Market Data - EQ'!B202-'Market Data - EQ'!B203,IF('Value at Risk'!$C$6=0,('Market Data - EQ'!B202-'Market Data - EQ'!B203)/'Market Data - EQ'!B203,LN('Market Data - EQ'!B202/'Market Data - EQ'!B203)))</f>
        <v>1.1395048752656655E-2</v>
      </c>
      <c r="H202" s="3">
        <f>IF('Value at Risk'!$C$5=0,'Market Data - EQ'!C202-'Market Data - EQ'!C203,IF('Value at Risk'!$C$6=0,('Market Data - EQ'!C202-'Market Data - EQ'!C203)/'Market Data - EQ'!C203,LN('Market Data - EQ'!C202/'Market Data - EQ'!C203)))</f>
        <v>1.2822860766168421E-2</v>
      </c>
      <c r="I202" s="3">
        <f>IF('Value at Risk'!$C$5=0,'Market Data - EQ'!D202-'Market Data - EQ'!D203,IF('Value at Risk'!$C$6=0,('Market Data - EQ'!D202-'Market Data - EQ'!D203)/'Market Data - EQ'!D203,LN('Market Data - EQ'!D202/'Market Data - EQ'!D203)))</f>
        <v>2.5405786873676783E-2</v>
      </c>
      <c r="J202" s="3">
        <f>IF('Value at Risk'!$C$5=0,'Market Data - EQ'!E202-'Market Data - EQ'!E203,IF('Value at Risk'!$C$6=0,('Market Data - EQ'!E202-'Market Data - EQ'!E203)/'Market Data - EQ'!E203,LN('Market Data - EQ'!E202/'Market Data - EQ'!E203)))</f>
        <v>1.8162605135659815E-2</v>
      </c>
      <c r="K202" s="3">
        <f>IF('Value at Risk'!$C$5=0,'Market Data - EQ'!F202-'Market Data - EQ'!F203,IF('Value at Risk'!$C$6=0,('Market Data - EQ'!F202-'Market Data - EQ'!F203)/'Market Data - EQ'!F203,LN('Market Data - EQ'!F202/'Market Data - EQ'!F203)))</f>
        <v>4.2212361883404423E-2</v>
      </c>
      <c r="L202" s="8">
        <f t="shared" si="3"/>
        <v>2.1999732682313221E-2</v>
      </c>
    </row>
    <row r="203" spans="1:12" x14ac:dyDescent="0.25">
      <c r="A203" s="5">
        <v>43525</v>
      </c>
      <c r="B203" s="4">
        <v>1041.6800539999999</v>
      </c>
      <c r="C203" s="4">
        <v>272.95001200000002</v>
      </c>
      <c r="D203" s="4">
        <v>354.25</v>
      </c>
      <c r="E203" s="4">
        <v>1514.099976</v>
      </c>
      <c r="F203" s="4">
        <v>702.40002400000003</v>
      </c>
      <c r="G203" s="3">
        <f>IF('Value at Risk'!$C$5=0,'Market Data - EQ'!B203-'Market Data - EQ'!B204,IF('Value at Risk'!$C$6=0,('Market Data - EQ'!B203-'Market Data - EQ'!B204)/'Market Data - EQ'!B204,LN('Market Data - EQ'!B203/'Market Data - EQ'!B204)))</f>
        <v>2.7917604488331129E-3</v>
      </c>
      <c r="H203" s="3">
        <f>IF('Value at Risk'!$C$5=0,'Market Data - EQ'!C203-'Market Data - EQ'!C204,IF('Value at Risk'!$C$6=0,('Market Data - EQ'!C203-'Market Data - EQ'!C204)/'Market Data - EQ'!C204,LN('Market Data - EQ'!C203/'Market Data - EQ'!C204)))</f>
        <v>1.4495536792218815E-2</v>
      </c>
      <c r="I203" s="3">
        <f>IF('Value at Risk'!$C$5=0,'Market Data - EQ'!D203-'Market Data - EQ'!D204,IF('Value at Risk'!$C$6=0,('Market Data - EQ'!D203-'Market Data - EQ'!D204)/'Market Data - EQ'!D204,LN('Market Data - EQ'!D203/'Market Data - EQ'!D204)))</f>
        <v>1.1709284792962207E-2</v>
      </c>
      <c r="J203" s="3">
        <f>IF('Value at Risk'!$C$5=0,'Market Data - EQ'!E203-'Market Data - EQ'!E204,IF('Value at Risk'!$C$6=0,('Market Data - EQ'!E203-'Market Data - EQ'!E204)/'Market Data - EQ'!E204,LN('Market Data - EQ'!E203/'Market Data - EQ'!E204)))</f>
        <v>2.7309428134088459E-2</v>
      </c>
      <c r="K203" s="3">
        <f>IF('Value at Risk'!$C$5=0,'Market Data - EQ'!F203-'Market Data - EQ'!F204,IF('Value at Risk'!$C$6=0,('Market Data - EQ'!F203-'Market Data - EQ'!F204)/'Market Data - EQ'!F204,LN('Market Data - EQ'!F203/'Market Data - EQ'!F204)))</f>
        <v>-1.0076758679333463E-2</v>
      </c>
      <c r="L203" s="8">
        <f t="shared" si="3"/>
        <v>9.245850297753825E-3</v>
      </c>
    </row>
    <row r="204" spans="1:12" x14ac:dyDescent="0.25">
      <c r="A204" s="5">
        <v>43524</v>
      </c>
      <c r="B204" s="4">
        <v>1038.780029</v>
      </c>
      <c r="C204" s="4">
        <v>269.04998799999998</v>
      </c>
      <c r="D204" s="4">
        <v>350.14999399999999</v>
      </c>
      <c r="E204" s="4">
        <v>1473.849976</v>
      </c>
      <c r="F204" s="4">
        <v>709.54998799999998</v>
      </c>
      <c r="G204" s="3">
        <f>IF('Value at Risk'!$C$5=0,'Market Data - EQ'!B204-'Market Data - EQ'!B205,IF('Value at Risk'!$C$6=0,('Market Data - EQ'!B204-'Market Data - EQ'!B205)/'Market Data - EQ'!B205,LN('Market Data - EQ'!B204/'Market Data - EQ'!B205)))</f>
        <v>-7.0163710043607413E-3</v>
      </c>
      <c r="H204" s="3">
        <f>IF('Value at Risk'!$C$5=0,'Market Data - EQ'!C204-'Market Data - EQ'!C205,IF('Value at Risk'!$C$6=0,('Market Data - EQ'!C204-'Market Data - EQ'!C205)/'Market Data - EQ'!C205,LN('Market Data - EQ'!C204/'Market Data - EQ'!C205)))</f>
        <v>5.2306894503423469E-3</v>
      </c>
      <c r="I204" s="3">
        <f>IF('Value at Risk'!$C$5=0,'Market Data - EQ'!D204-'Market Data - EQ'!D205,IF('Value at Risk'!$C$6=0,('Market Data - EQ'!D204-'Market Data - EQ'!D205)/'Market Data - EQ'!D205,LN('Market Data - EQ'!D204/'Market Data - EQ'!D205)))</f>
        <v>1.3312128953105355E-2</v>
      </c>
      <c r="J204" s="3">
        <f>IF('Value at Risk'!$C$5=0,'Market Data - EQ'!E204-'Market Data - EQ'!E205,IF('Value at Risk'!$C$6=0,('Market Data - EQ'!E204-'Market Data - EQ'!E205)/'Market Data - EQ'!E205,LN('Market Data - EQ'!E204/'Market Data - EQ'!E205)))</f>
        <v>-1.9299621416457172E-3</v>
      </c>
      <c r="K204" s="3">
        <f>IF('Value at Risk'!$C$5=0,'Market Data - EQ'!F204-'Market Data - EQ'!F205,IF('Value at Risk'!$C$6=0,('Market Data - EQ'!F204-'Market Data - EQ'!F205)/'Market Data - EQ'!F205,LN('Market Data - EQ'!F204/'Market Data - EQ'!F205)))</f>
        <v>-1.2044032101742753E-2</v>
      </c>
      <c r="L204" s="8">
        <f t="shared" si="3"/>
        <v>-4.8950936886030185E-4</v>
      </c>
    </row>
    <row r="205" spans="1:12" x14ac:dyDescent="0.25">
      <c r="A205" s="5">
        <v>43523</v>
      </c>
      <c r="B205" s="4">
        <v>1046.119995</v>
      </c>
      <c r="C205" s="4">
        <v>267.64999399999999</v>
      </c>
      <c r="D205" s="4">
        <v>345.54998799999998</v>
      </c>
      <c r="E205" s="4">
        <v>1476.6999510000001</v>
      </c>
      <c r="F205" s="4">
        <v>718.20001200000002</v>
      </c>
      <c r="G205" s="3">
        <f>IF('Value at Risk'!$C$5=0,'Market Data - EQ'!B205-'Market Data - EQ'!B206,IF('Value at Risk'!$C$6=0,('Market Data - EQ'!B205-'Market Data - EQ'!B206)/'Market Data - EQ'!B206,LN('Market Data - EQ'!B205/'Market Data - EQ'!B206)))</f>
        <v>-8.7176889197165385E-3</v>
      </c>
      <c r="H205" s="3">
        <f>IF('Value at Risk'!$C$5=0,'Market Data - EQ'!C205-'Market Data - EQ'!C206,IF('Value at Risk'!$C$6=0,('Market Data - EQ'!C205-'Market Data - EQ'!C206)/'Market Data - EQ'!C206,LN('Market Data - EQ'!C205/'Market Data - EQ'!C206)))</f>
        <v>4.8807507817363619E-3</v>
      </c>
      <c r="I205" s="3">
        <f>IF('Value at Risk'!$C$5=0,'Market Data - EQ'!D205-'Market Data - EQ'!D206,IF('Value at Risk'!$C$6=0,('Market Data - EQ'!D205-'Market Data - EQ'!D206)/'Market Data - EQ'!D206,LN('Market Data - EQ'!D205/'Market Data - EQ'!D206)))</f>
        <v>-7.6106373023330917E-3</v>
      </c>
      <c r="J205" s="3">
        <f>IF('Value at Risk'!$C$5=0,'Market Data - EQ'!E205-'Market Data - EQ'!E206,IF('Value at Risk'!$C$6=0,('Market Data - EQ'!E205-'Market Data - EQ'!E206)/'Market Data - EQ'!E206,LN('Market Data - EQ'!E205/'Market Data - EQ'!E206)))</f>
        <v>-9.471788260146174E-4</v>
      </c>
      <c r="K205" s="3">
        <f>IF('Value at Risk'!$C$5=0,'Market Data - EQ'!F205-'Market Data - EQ'!F206,IF('Value at Risk'!$C$6=0,('Market Data - EQ'!F205-'Market Data - EQ'!F206)/'Market Data - EQ'!F206,LN('Market Data - EQ'!F205/'Market Data - EQ'!F206)))</f>
        <v>1.1335616035971555E-2</v>
      </c>
      <c r="L205" s="8">
        <f t="shared" si="3"/>
        <v>-2.1182764607126614E-4</v>
      </c>
    </row>
    <row r="206" spans="1:12" x14ac:dyDescent="0.25">
      <c r="A206" s="5">
        <v>43522</v>
      </c>
      <c r="B206" s="4">
        <v>1055.3199460000001</v>
      </c>
      <c r="C206" s="4">
        <v>266.35000600000001</v>
      </c>
      <c r="D206" s="4">
        <v>348.20001200000002</v>
      </c>
      <c r="E206" s="4">
        <v>1478.099976</v>
      </c>
      <c r="F206" s="4">
        <v>710.15002400000003</v>
      </c>
      <c r="G206" s="3">
        <f>IF('Value at Risk'!$C$5=0,'Market Data - EQ'!B206-'Market Data - EQ'!B207,IF('Value at Risk'!$C$6=0,('Market Data - EQ'!B206-'Market Data - EQ'!B207)/'Market Data - EQ'!B207,LN('Market Data - EQ'!B206/'Market Data - EQ'!B207)))</f>
        <v>-6.9445801640015152E-3</v>
      </c>
      <c r="H206" s="3">
        <f>IF('Value at Risk'!$C$5=0,'Market Data - EQ'!C206-'Market Data - EQ'!C207,IF('Value at Risk'!$C$6=0,('Market Data - EQ'!C206-'Market Data - EQ'!C207)/'Market Data - EQ'!C207,LN('Market Data - EQ'!C206/'Market Data - EQ'!C207)))</f>
        <v>-1.4066215378113187E-2</v>
      </c>
      <c r="I206" s="3">
        <f>IF('Value at Risk'!$C$5=0,'Market Data - EQ'!D206-'Market Data - EQ'!D207,IF('Value at Risk'!$C$6=0,('Market Data - EQ'!D206-'Market Data - EQ'!D207)/'Market Data - EQ'!D207,LN('Market Data - EQ'!D206/'Market Data - EQ'!D207)))</f>
        <v>-2.0809881538640898E-2</v>
      </c>
      <c r="J206" s="3">
        <f>IF('Value at Risk'!$C$5=0,'Market Data - EQ'!E206-'Market Data - EQ'!E207,IF('Value at Risk'!$C$6=0,('Market Data - EQ'!E206-'Market Data - EQ'!E207)/'Market Data - EQ'!E207,LN('Market Data - EQ'!E206/'Market Data - EQ'!E207)))</f>
        <v>-8.7848547682792179E-3</v>
      </c>
      <c r="K206" s="3">
        <f>IF('Value at Risk'!$C$5=0,'Market Data - EQ'!F206-'Market Data - EQ'!F207,IF('Value at Risk'!$C$6=0,('Market Data - EQ'!F206-'Market Data - EQ'!F207)/'Market Data - EQ'!F207,LN('Market Data - EQ'!F206/'Market Data - EQ'!F207)))</f>
        <v>9.1658546113539286E-3</v>
      </c>
      <c r="L206" s="8">
        <f t="shared" si="3"/>
        <v>-8.287935447536178E-3</v>
      </c>
    </row>
    <row r="207" spans="1:12" x14ac:dyDescent="0.25">
      <c r="A207" s="5">
        <v>43521</v>
      </c>
      <c r="B207" s="4">
        <v>1062.6999510000001</v>
      </c>
      <c r="C207" s="4">
        <v>270.14999399999999</v>
      </c>
      <c r="D207" s="4">
        <v>355.60000600000001</v>
      </c>
      <c r="E207" s="4">
        <v>1491.1999510000001</v>
      </c>
      <c r="F207" s="4">
        <v>703.70001200000002</v>
      </c>
      <c r="G207" s="3">
        <f>IF('Value at Risk'!$C$5=0,'Market Data - EQ'!B207-'Market Data - EQ'!B208,IF('Value at Risk'!$C$6=0,('Market Data - EQ'!B207-'Market Data - EQ'!B208)/'Market Data - EQ'!B208,LN('Market Data - EQ'!B207/'Market Data - EQ'!B208)))</f>
        <v>1.6237597512613697E-2</v>
      </c>
      <c r="H207" s="3">
        <f>IF('Value at Risk'!$C$5=0,'Market Data - EQ'!C207-'Market Data - EQ'!C208,IF('Value at Risk'!$C$6=0,('Market Data - EQ'!C207-'Market Data - EQ'!C208)/'Market Data - EQ'!C208,LN('Market Data - EQ'!C207/'Market Data - EQ'!C208)))</f>
        <v>-2.9526405778495506E-3</v>
      </c>
      <c r="I207" s="3">
        <f>IF('Value at Risk'!$C$5=0,'Market Data - EQ'!D207-'Market Data - EQ'!D208,IF('Value at Risk'!$C$6=0,('Market Data - EQ'!D207-'Market Data - EQ'!D208)/'Market Data - EQ'!D208,LN('Market Data - EQ'!D207/'Market Data - EQ'!D208)))</f>
        <v>1.0083846388314671E-2</v>
      </c>
      <c r="J207" s="3">
        <f>IF('Value at Risk'!$C$5=0,'Market Data - EQ'!E207-'Market Data - EQ'!E208,IF('Value at Risk'!$C$6=0,('Market Data - EQ'!E207-'Market Data - EQ'!E208)/'Market Data - EQ'!E208,LN('Market Data - EQ'!E207/'Market Data - EQ'!E208)))</f>
        <v>1.9414753246292864E-2</v>
      </c>
      <c r="K207" s="3">
        <f>IF('Value at Risk'!$C$5=0,'Market Data - EQ'!F207-'Market Data - EQ'!F208,IF('Value at Risk'!$C$6=0,('Market Data - EQ'!F207-'Market Data - EQ'!F208)/'Market Data - EQ'!F208,LN('Market Data - EQ'!F207/'Market Data - EQ'!F208)))</f>
        <v>2.3502941787672681E-3</v>
      </c>
      <c r="L207" s="8">
        <f t="shared" si="3"/>
        <v>9.0267701496277893E-3</v>
      </c>
    </row>
    <row r="208" spans="1:12" x14ac:dyDescent="0.25">
      <c r="A208" s="5">
        <v>43518</v>
      </c>
      <c r="B208" s="4">
        <v>1045.719971</v>
      </c>
      <c r="C208" s="4">
        <v>270.95001200000002</v>
      </c>
      <c r="D208" s="4">
        <v>352.04998799999998</v>
      </c>
      <c r="E208" s="4">
        <v>1462.8000489999999</v>
      </c>
      <c r="F208" s="4">
        <v>702.04998799999998</v>
      </c>
      <c r="G208" s="3">
        <f>IF('Value at Risk'!$C$5=0,'Market Data - EQ'!B208-'Market Data - EQ'!B209,IF('Value at Risk'!$C$6=0,('Market Data - EQ'!B208-'Market Data - EQ'!B209)/'Market Data - EQ'!B209,LN('Market Data - EQ'!B208/'Market Data - EQ'!B209)))</f>
        <v>-1.1560074262908178E-2</v>
      </c>
      <c r="H208" s="3">
        <f>IF('Value at Risk'!$C$5=0,'Market Data - EQ'!C208-'Market Data - EQ'!C209,IF('Value at Risk'!$C$6=0,('Market Data - EQ'!C208-'Market Data - EQ'!C209)/'Market Data - EQ'!C209,LN('Market Data - EQ'!C208/'Market Data - EQ'!C209)))</f>
        <v>1.1007507462686623E-2</v>
      </c>
      <c r="I208" s="3">
        <f>IF('Value at Risk'!$C$5=0,'Market Data - EQ'!D208-'Market Data - EQ'!D209,IF('Value at Risk'!$C$6=0,('Market Data - EQ'!D208-'Market Data - EQ'!D209)/'Market Data - EQ'!D209,LN('Market Data - EQ'!D208/'Market Data - EQ'!D209)))</f>
        <v>2.1349274853946195E-3</v>
      </c>
      <c r="J208" s="3">
        <f>IF('Value at Risk'!$C$5=0,'Market Data - EQ'!E208-'Market Data - EQ'!E209,IF('Value at Risk'!$C$6=0,('Market Data - EQ'!E208-'Market Data - EQ'!E209)/'Market Data - EQ'!E209,LN('Market Data - EQ'!E208/'Market Data - EQ'!E209)))</f>
        <v>-5.9461110452519858E-3</v>
      </c>
      <c r="K208" s="3">
        <f>IF('Value at Risk'!$C$5=0,'Market Data - EQ'!F208-'Market Data - EQ'!F209,IF('Value at Risk'!$C$6=0,('Market Data - EQ'!F208-'Market Data - EQ'!F209)/'Market Data - EQ'!F209,LN('Market Data - EQ'!F208/'Market Data - EQ'!F209)))</f>
        <v>6.9563624734991676E-3</v>
      </c>
      <c r="L208" s="8">
        <f t="shared" si="3"/>
        <v>5.1852242268404932E-4</v>
      </c>
    </row>
    <row r="209" spans="1:12" x14ac:dyDescent="0.25">
      <c r="A209" s="5">
        <v>43517</v>
      </c>
      <c r="B209" s="4">
        <v>1057.9499510000001</v>
      </c>
      <c r="C209" s="4">
        <v>268</v>
      </c>
      <c r="D209" s="4">
        <v>351.29998799999998</v>
      </c>
      <c r="E209" s="4">
        <v>1471.5500489999999</v>
      </c>
      <c r="F209" s="4">
        <v>697.20001200000002</v>
      </c>
      <c r="G209" s="3">
        <f>IF('Value at Risk'!$C$5=0,'Market Data - EQ'!B209-'Market Data - EQ'!B210,IF('Value at Risk'!$C$6=0,('Market Data - EQ'!B209-'Market Data - EQ'!B210)/'Market Data - EQ'!B210,LN('Market Data - EQ'!B209/'Market Data - EQ'!B210)))</f>
        <v>3.5761414624527971E-3</v>
      </c>
      <c r="H209" s="3">
        <f>IF('Value at Risk'!$C$5=0,'Market Data - EQ'!C209-'Market Data - EQ'!C210,IF('Value at Risk'!$C$6=0,('Market Data - EQ'!C209-'Market Data - EQ'!C210)/'Market Data - EQ'!C210,LN('Market Data - EQ'!C209/'Market Data - EQ'!C210)))</f>
        <v>1.1206125758409932E-3</v>
      </c>
      <c r="I209" s="3">
        <f>IF('Value at Risk'!$C$5=0,'Market Data - EQ'!D209-'Market Data - EQ'!D210,IF('Value at Risk'!$C$6=0,('Market Data - EQ'!D209-'Market Data - EQ'!D210)/'Market Data - EQ'!D210,LN('Market Data - EQ'!D209/'Market Data - EQ'!D210)))</f>
        <v>1.7670845272160562E-2</v>
      </c>
      <c r="J209" s="3">
        <f>IF('Value at Risk'!$C$5=0,'Market Data - EQ'!E209-'Market Data - EQ'!E210,IF('Value at Risk'!$C$6=0,('Market Data - EQ'!E209-'Market Data - EQ'!E210)/'Market Data - EQ'!E210,LN('Market Data - EQ'!E209/'Market Data - EQ'!E210)))</f>
        <v>-6.2466232400833748E-3</v>
      </c>
      <c r="K209" s="3">
        <f>IF('Value at Risk'!$C$5=0,'Market Data - EQ'!F209-'Market Data - EQ'!F210,IF('Value at Risk'!$C$6=0,('Market Data - EQ'!F209-'Market Data - EQ'!F210)/'Market Data - EQ'!F210,LN('Market Data - EQ'!F209/'Market Data - EQ'!F210)))</f>
        <v>-4.497699875697511E-3</v>
      </c>
      <c r="L209" s="8">
        <f t="shared" si="3"/>
        <v>2.3246552389346925E-3</v>
      </c>
    </row>
    <row r="210" spans="1:12" x14ac:dyDescent="0.25">
      <c r="A210" s="5">
        <v>43516</v>
      </c>
      <c r="B210" s="4">
        <v>1054.1800539999999</v>
      </c>
      <c r="C210" s="4">
        <v>267.70001200000002</v>
      </c>
      <c r="D210" s="4">
        <v>345.20001200000002</v>
      </c>
      <c r="E210" s="4">
        <v>1480.8000489999999</v>
      </c>
      <c r="F210" s="4">
        <v>700.34997599999997</v>
      </c>
      <c r="G210" s="3">
        <f>IF('Value at Risk'!$C$5=0,'Market Data - EQ'!B210-'Market Data - EQ'!B211,IF('Value at Risk'!$C$6=0,('Market Data - EQ'!B210-'Market Data - EQ'!B211)/'Market Data - EQ'!B211,LN('Market Data - EQ'!B210/'Market Data - EQ'!B211)))</f>
        <v>1.165995668249587E-2</v>
      </c>
      <c r="H210" s="3">
        <f>IF('Value at Risk'!$C$5=0,'Market Data - EQ'!C210-'Market Data - EQ'!C211,IF('Value at Risk'!$C$6=0,('Market Data - EQ'!C210-'Market Data - EQ'!C211)/'Market Data - EQ'!C211,LN('Market Data - EQ'!C210/'Market Data - EQ'!C211)))</f>
        <v>1.8257961618667908E-2</v>
      </c>
      <c r="I210" s="3">
        <f>IF('Value at Risk'!$C$5=0,'Market Data - EQ'!D210-'Market Data - EQ'!D211,IF('Value at Risk'!$C$6=0,('Market Data - EQ'!D210-'Market Data - EQ'!D211)/'Market Data - EQ'!D211,LN('Market Data - EQ'!D210/'Market Data - EQ'!D211)))</f>
        <v>5.681025491624225E-3</v>
      </c>
      <c r="J210" s="3">
        <f>IF('Value at Risk'!$C$5=0,'Market Data - EQ'!E210-'Market Data - EQ'!E211,IF('Value at Risk'!$C$6=0,('Market Data - EQ'!E210-'Market Data - EQ'!E211)/'Market Data - EQ'!E211,LN('Market Data - EQ'!E210/'Market Data - EQ'!E211)))</f>
        <v>2.0266734211411312E-4</v>
      </c>
      <c r="K210" s="3">
        <f>IF('Value at Risk'!$C$5=0,'Market Data - EQ'!F210-'Market Data - EQ'!F211,IF('Value at Risk'!$C$6=0,('Market Data - EQ'!F210-'Market Data - EQ'!F211)/'Market Data - EQ'!F211,LN('Market Data - EQ'!F210/'Market Data - EQ'!F211)))</f>
        <v>1.0533133433947892E-2</v>
      </c>
      <c r="L210" s="8">
        <f t="shared" si="3"/>
        <v>9.2669489137700012E-3</v>
      </c>
    </row>
    <row r="211" spans="1:12" x14ac:dyDescent="0.25">
      <c r="A211" s="5">
        <v>43515</v>
      </c>
      <c r="B211" s="4">
        <v>1042.030029</v>
      </c>
      <c r="C211" s="4">
        <v>262.89999399999999</v>
      </c>
      <c r="D211" s="4">
        <v>343.25</v>
      </c>
      <c r="E211" s="4">
        <v>1480.5</v>
      </c>
      <c r="F211" s="4">
        <v>693.04998799999998</v>
      </c>
      <c r="G211" s="3">
        <f>IF('Value at Risk'!$C$5=0,'Market Data - EQ'!B211-'Market Data - EQ'!B212,IF('Value at Risk'!$C$6=0,('Market Data - EQ'!B211-'Market Data - EQ'!B212)/'Market Data - EQ'!B212,LN('Market Data - EQ'!B211/'Market Data - EQ'!B212)))</f>
        <v>-2.794317562487777E-3</v>
      </c>
      <c r="H211" s="3">
        <f>IF('Value at Risk'!$C$5=0,'Market Data - EQ'!C211-'Market Data - EQ'!C212,IF('Value at Risk'!$C$6=0,('Market Data - EQ'!C211-'Market Data - EQ'!C212)/'Market Data - EQ'!C212,LN('Market Data - EQ'!C211/'Market Data - EQ'!C212)))</f>
        <v>1.1348266450551182E-2</v>
      </c>
      <c r="I211" s="3">
        <f>IF('Value at Risk'!$C$5=0,'Market Data - EQ'!D211-'Market Data - EQ'!D212,IF('Value at Risk'!$C$6=0,('Market Data - EQ'!D211-'Market Data - EQ'!D212)/'Market Data - EQ'!D212,LN('Market Data - EQ'!D211/'Market Data - EQ'!D212)))</f>
        <v>1.3284132841328414E-2</v>
      </c>
      <c r="J211" s="3">
        <f>IF('Value at Risk'!$C$5=0,'Market Data - EQ'!E211-'Market Data - EQ'!E212,IF('Value at Risk'!$C$6=0,('Market Data - EQ'!E211-'Market Data - EQ'!E212)/'Market Data - EQ'!E212,LN('Market Data - EQ'!E211/'Market Data - EQ'!E212)))</f>
        <v>-2.4060646011865524E-2</v>
      </c>
      <c r="K211" s="3">
        <f>IF('Value at Risk'!$C$5=0,'Market Data - EQ'!F211-'Market Data - EQ'!F212,IF('Value at Risk'!$C$6=0,('Market Data - EQ'!F211-'Market Data - EQ'!F212)/'Market Data - EQ'!F212,LN('Market Data - EQ'!F211/'Market Data - EQ'!F212)))</f>
        <v>-3.6059426558074598E-4</v>
      </c>
      <c r="L211" s="8">
        <f t="shared" si="3"/>
        <v>-5.1663170961088994E-4</v>
      </c>
    </row>
    <row r="212" spans="1:12" x14ac:dyDescent="0.25">
      <c r="A212" s="5">
        <v>43514</v>
      </c>
      <c r="B212" s="4">
        <v>1044.9499510000001</v>
      </c>
      <c r="C212" s="4">
        <v>259.95001200000002</v>
      </c>
      <c r="D212" s="4">
        <v>338.75</v>
      </c>
      <c r="E212" s="4">
        <v>1517</v>
      </c>
      <c r="F212" s="4">
        <v>693.29998799999998</v>
      </c>
      <c r="G212" s="3">
        <f>IF('Value at Risk'!$C$5=0,'Market Data - EQ'!B212-'Market Data - EQ'!B213,IF('Value at Risk'!$C$6=0,('Market Data - EQ'!B212-'Market Data - EQ'!B213)/'Market Data - EQ'!B213,LN('Market Data - EQ'!B212/'Market Data - EQ'!B213)))</f>
        <v>-5.1127230521051314E-3</v>
      </c>
      <c r="H212" s="3">
        <f>IF('Value at Risk'!$C$5=0,'Market Data - EQ'!C212-'Market Data - EQ'!C213,IF('Value at Risk'!$C$6=0,('Market Data - EQ'!C212-'Market Data - EQ'!C213)/'Market Data - EQ'!C213,LN('Market Data - EQ'!C212/'Market Data - EQ'!C213)))</f>
        <v>-1.1409012599702791E-2</v>
      </c>
      <c r="I212" s="3">
        <f>IF('Value at Risk'!$C$5=0,'Market Data - EQ'!D212-'Market Data - EQ'!D213,IF('Value at Risk'!$C$6=0,('Market Data - EQ'!D212-'Market Data - EQ'!D213)/'Market Data - EQ'!D213,LN('Market Data - EQ'!D212/'Market Data - EQ'!D213)))</f>
        <v>-9.9371447015135488E-3</v>
      </c>
      <c r="J212" s="3">
        <f>IF('Value at Risk'!$C$5=0,'Market Data - EQ'!E212-'Market Data - EQ'!E213,IF('Value at Risk'!$C$6=0,('Market Data - EQ'!E212-'Market Data - EQ'!E213)/'Market Data - EQ'!E213,LN('Market Data - EQ'!E212/'Market Data - EQ'!E213)))</f>
        <v>4.9685326266975822E-3</v>
      </c>
      <c r="K212" s="3">
        <f>IF('Value at Risk'!$C$5=0,'Market Data - EQ'!F212-'Market Data - EQ'!F213,IF('Value at Risk'!$C$6=0,('Market Data - EQ'!F212-'Market Data - EQ'!F213)/'Market Data - EQ'!F213,LN('Market Data - EQ'!F212/'Market Data - EQ'!F213)))</f>
        <v>9.7582467727904722E-3</v>
      </c>
      <c r="L212" s="8">
        <f t="shared" si="3"/>
        <v>-2.3464201907666842E-3</v>
      </c>
    </row>
    <row r="213" spans="1:12" x14ac:dyDescent="0.25">
      <c r="A213" s="5">
        <v>43511</v>
      </c>
      <c r="B213" s="4">
        <v>1050.3199460000001</v>
      </c>
      <c r="C213" s="4">
        <v>262.95001200000002</v>
      </c>
      <c r="D213" s="4">
        <v>342.14999399999999</v>
      </c>
      <c r="E213" s="4">
        <v>1509.5</v>
      </c>
      <c r="F213" s="4">
        <v>686.59997599999997</v>
      </c>
      <c r="G213" s="3">
        <f>IF('Value at Risk'!$C$5=0,'Market Data - EQ'!B213-'Market Data - EQ'!B214,IF('Value at Risk'!$C$6=0,('Market Data - EQ'!B213-'Market Data - EQ'!B214)/'Market Data - EQ'!B214,LN('Market Data - EQ'!B213/'Market Data - EQ'!B214)))</f>
        <v>-4.5304048040276865E-3</v>
      </c>
      <c r="H213" s="3">
        <f>IF('Value at Risk'!$C$5=0,'Market Data - EQ'!C213-'Market Data - EQ'!C214,IF('Value at Risk'!$C$6=0,('Market Data - EQ'!C213-'Market Data - EQ'!C214)/'Market Data - EQ'!C214,LN('Market Data - EQ'!C213/'Market Data - EQ'!C214)))</f>
        <v>-1.5537229153038627E-2</v>
      </c>
      <c r="I213" s="3">
        <f>IF('Value at Risk'!$C$5=0,'Market Data - EQ'!D213-'Market Data - EQ'!D214,IF('Value at Risk'!$C$6=0,('Market Data - EQ'!D213-'Market Data - EQ'!D214)/'Market Data - EQ'!D214,LN('Market Data - EQ'!D213/'Market Data - EQ'!D214)))</f>
        <v>-5.233370946938716E-3</v>
      </c>
      <c r="J213" s="3">
        <f>IF('Value at Risk'!$C$5=0,'Market Data - EQ'!E213-'Market Data - EQ'!E214,IF('Value at Risk'!$C$6=0,('Market Data - EQ'!E213-'Market Data - EQ'!E214)/'Market Data - EQ'!E214,LN('Market Data - EQ'!E213/'Market Data - EQ'!E214)))</f>
        <v>-5.2718286655683688E-3</v>
      </c>
      <c r="K213" s="3">
        <f>IF('Value at Risk'!$C$5=0,'Market Data - EQ'!F213-'Market Data - EQ'!F214,IF('Value at Risk'!$C$6=0,('Market Data - EQ'!F213-'Market Data - EQ'!F214)/'Market Data - EQ'!F214,LN('Market Data - EQ'!F213/'Market Data - EQ'!F214)))</f>
        <v>-1.2086365467625943E-2</v>
      </c>
      <c r="L213" s="8">
        <f t="shared" si="3"/>
        <v>-8.5318398074398678E-3</v>
      </c>
    </row>
    <row r="214" spans="1:12" x14ac:dyDescent="0.25">
      <c r="A214" s="5">
        <v>43510</v>
      </c>
      <c r="B214" s="4">
        <v>1055.099976</v>
      </c>
      <c r="C214" s="4">
        <v>267.10000600000001</v>
      </c>
      <c r="D214" s="4">
        <v>343.95001200000002</v>
      </c>
      <c r="E214" s="4">
        <v>1517.5</v>
      </c>
      <c r="F214" s="4">
        <v>695</v>
      </c>
      <c r="G214" s="3">
        <f>IF('Value at Risk'!$C$5=0,'Market Data - EQ'!B214-'Market Data - EQ'!B215,IF('Value at Risk'!$C$6=0,('Market Data - EQ'!B214-'Market Data - EQ'!B215)/'Market Data - EQ'!B215,LN('Market Data - EQ'!B214/'Market Data - EQ'!B215)))</f>
        <v>-9.1562193921672207E-3</v>
      </c>
      <c r="H214" s="3">
        <f>IF('Value at Risk'!$C$5=0,'Market Data - EQ'!C214-'Market Data - EQ'!C215,IF('Value at Risk'!$C$6=0,('Market Data - EQ'!C214-'Market Data - EQ'!C215)/'Market Data - EQ'!C215,LN('Market Data - EQ'!C214/'Market Data - EQ'!C215)))</f>
        <v>-3.0137938201988432E-2</v>
      </c>
      <c r="I214" s="3">
        <f>IF('Value at Risk'!$C$5=0,'Market Data - EQ'!D214-'Market Data - EQ'!D215,IF('Value at Risk'!$C$6=0,('Market Data - EQ'!D214-'Market Data - EQ'!D215)/'Market Data - EQ'!D215,LN('Market Data - EQ'!D214/'Market Data - EQ'!D215)))</f>
        <v>-1.0164856584310123E-3</v>
      </c>
      <c r="J214" s="3">
        <f>IF('Value at Risk'!$C$5=0,'Market Data - EQ'!E214-'Market Data - EQ'!E215,IF('Value at Risk'!$C$6=0,('Market Data - EQ'!E214-'Market Data - EQ'!E215)/'Market Data - EQ'!E215,LN('Market Data - EQ'!E214/'Market Data - EQ'!E215)))</f>
        <v>1.3558675971396652E-2</v>
      </c>
      <c r="K214" s="3">
        <f>IF('Value at Risk'!$C$5=0,'Market Data - EQ'!F214-'Market Data - EQ'!F215,IF('Value at Risk'!$C$6=0,('Market Data - EQ'!F214-'Market Data - EQ'!F215)/'Market Data - EQ'!F215,LN('Market Data - EQ'!F214/'Market Data - EQ'!F215)))</f>
        <v>-1.5022642234330192E-2</v>
      </c>
      <c r="L214" s="8">
        <f t="shared" si="3"/>
        <v>-8.3549219031040407E-3</v>
      </c>
    </row>
    <row r="215" spans="1:12" x14ac:dyDescent="0.25">
      <c r="A215" s="5">
        <v>43508</v>
      </c>
      <c r="B215" s="4">
        <v>1064.849976</v>
      </c>
      <c r="C215" s="4">
        <v>275.39999399999999</v>
      </c>
      <c r="D215" s="4">
        <v>344.29998799999998</v>
      </c>
      <c r="E215" s="4">
        <v>1497.1999510000001</v>
      </c>
      <c r="F215" s="4">
        <v>705.59997599999997</v>
      </c>
      <c r="G215" s="3">
        <f>IF('Value at Risk'!$C$5=0,'Market Data - EQ'!B215-'Market Data - EQ'!B216,IF('Value at Risk'!$C$6=0,('Market Data - EQ'!B215-'Market Data - EQ'!B216)/'Market Data - EQ'!B216,LN('Market Data - EQ'!B215/'Market Data - EQ'!B216)))</f>
        <v>-4.645613515229882E-3</v>
      </c>
      <c r="H215" s="3">
        <f>IF('Value at Risk'!$C$5=0,'Market Data - EQ'!C215-'Market Data - EQ'!C216,IF('Value at Risk'!$C$6=0,('Market Data - EQ'!C215-'Market Data - EQ'!C216)/'Market Data - EQ'!C216,LN('Market Data - EQ'!C215/'Market Data - EQ'!C216)))</f>
        <v>-1.8181839572192542E-2</v>
      </c>
      <c r="I215" s="3">
        <f>IF('Value at Risk'!$C$5=0,'Market Data - EQ'!D215-'Market Data - EQ'!D216,IF('Value at Risk'!$C$6=0,('Market Data - EQ'!D215-'Market Data - EQ'!D216)/'Market Data - EQ'!D216,LN('Market Data - EQ'!D215/'Market Data - EQ'!D216)))</f>
        <v>-1.6426225388129424E-2</v>
      </c>
      <c r="J215" s="3">
        <f>IF('Value at Risk'!$C$5=0,'Market Data - EQ'!E215-'Market Data - EQ'!E216,IF('Value at Risk'!$C$6=0,('Market Data - EQ'!E215-'Market Data - EQ'!E216)/'Market Data - EQ'!E216,LN('Market Data - EQ'!E215/'Market Data - EQ'!E216)))</f>
        <v>-9.1330569159496656E-3</v>
      </c>
      <c r="K215" s="3">
        <f>IF('Value at Risk'!$C$5=0,'Market Data - EQ'!F215-'Market Data - EQ'!F216,IF('Value at Risk'!$C$6=0,('Market Data - EQ'!F215-'Market Data - EQ'!F216)/'Market Data - EQ'!F216,LN('Market Data - EQ'!F215/'Market Data - EQ'!F216)))</f>
        <v>-7.3855246215834437E-3</v>
      </c>
      <c r="L215" s="8">
        <f t="shared" si="3"/>
        <v>-1.115445200261699E-2</v>
      </c>
    </row>
    <row r="216" spans="1:12" x14ac:dyDescent="0.25">
      <c r="A216" s="5">
        <v>43507</v>
      </c>
      <c r="B216" s="4">
        <v>1069.8199460000001</v>
      </c>
      <c r="C216" s="4">
        <v>280.5</v>
      </c>
      <c r="D216" s="4">
        <v>350.04998799999998</v>
      </c>
      <c r="E216" s="4">
        <v>1511</v>
      </c>
      <c r="F216" s="4">
        <v>710.84997599999997</v>
      </c>
      <c r="G216" s="3">
        <f>IF('Value at Risk'!$C$5=0,'Market Data - EQ'!B216-'Market Data - EQ'!B217,IF('Value at Risk'!$C$6=0,('Market Data - EQ'!B216-'Market Data - EQ'!B217)/'Market Data - EQ'!B217,LN('Market Data - EQ'!B216/'Market Data - EQ'!B217)))</f>
        <v>8.0088949915956813E-3</v>
      </c>
      <c r="H216" s="3">
        <f>IF('Value at Risk'!$C$5=0,'Market Data - EQ'!C216-'Market Data - EQ'!C217,IF('Value at Risk'!$C$6=0,('Market Data - EQ'!C216-'Market Data - EQ'!C217)/'Market Data - EQ'!C217,LN('Market Data - EQ'!C216/'Market Data - EQ'!C217)))</f>
        <v>-1.9230769230769232E-2</v>
      </c>
      <c r="I216" s="3">
        <f>IF('Value at Risk'!$C$5=0,'Market Data - EQ'!D216-'Market Data - EQ'!D217,IF('Value at Risk'!$C$6=0,('Market Data - EQ'!D216-'Market Data - EQ'!D217)/'Market Data - EQ'!D217,LN('Market Data - EQ'!D216/'Market Data - EQ'!D217)))</f>
        <v>-1.4221396549342843E-2</v>
      </c>
      <c r="J216" s="3">
        <f>IF('Value at Risk'!$C$5=0,'Market Data - EQ'!E216-'Market Data - EQ'!E217,IF('Value at Risk'!$C$6=0,('Market Data - EQ'!E216-'Market Data - EQ'!E217)/'Market Data - EQ'!E217,LN('Market Data - EQ'!E216/'Market Data - EQ'!E217)))</f>
        <v>7.9716824718238984E-3</v>
      </c>
      <c r="K216" s="3">
        <f>IF('Value at Risk'!$C$5=0,'Market Data - EQ'!F216-'Market Data - EQ'!F217,IF('Value at Risk'!$C$6=0,('Market Data - EQ'!F216-'Market Data - EQ'!F217)/'Market Data - EQ'!F217,LN('Market Data - EQ'!F216/'Market Data - EQ'!F217)))</f>
        <v>-1.1884970412511497E-2</v>
      </c>
      <c r="L216" s="8">
        <f t="shared" si="3"/>
        <v>-5.8713117458407986E-3</v>
      </c>
    </row>
    <row r="217" spans="1:12" x14ac:dyDescent="0.25">
      <c r="A217" s="5">
        <v>43504</v>
      </c>
      <c r="B217" s="4">
        <v>1061.3199460000001</v>
      </c>
      <c r="C217" s="4">
        <v>286</v>
      </c>
      <c r="D217" s="4">
        <v>355.10000600000001</v>
      </c>
      <c r="E217" s="4">
        <v>1499.0500489999999</v>
      </c>
      <c r="F217" s="4">
        <v>719.40002400000003</v>
      </c>
      <c r="G217" s="3">
        <f>IF('Value at Risk'!$C$5=0,'Market Data - EQ'!B217-'Market Data - EQ'!B218,IF('Value at Risk'!$C$6=0,('Market Data - EQ'!B217-'Market Data - EQ'!B218)/'Market Data - EQ'!B218,LN('Market Data - EQ'!B217/'Market Data - EQ'!B218)))</f>
        <v>2.5504439862767334E-3</v>
      </c>
      <c r="H217" s="3">
        <f>IF('Value at Risk'!$C$5=0,'Market Data - EQ'!C217-'Market Data - EQ'!C218,IF('Value at Risk'!$C$6=0,('Market Data - EQ'!C217-'Market Data - EQ'!C218)/'Market Data - EQ'!C218,LN('Market Data - EQ'!C217/'Market Data - EQ'!C218)))</f>
        <v>-4.8712387934148407E-3</v>
      </c>
      <c r="I217" s="3">
        <f>IF('Value at Risk'!$C$5=0,'Market Data - EQ'!D217-'Market Data - EQ'!D218,IF('Value at Risk'!$C$6=0,('Market Data - EQ'!D217-'Market Data - EQ'!D218)/'Market Data - EQ'!D218,LN('Market Data - EQ'!D217/'Market Data - EQ'!D218)))</f>
        <v>-9.8981961784167342E-3</v>
      </c>
      <c r="J217" s="3">
        <f>IF('Value at Risk'!$C$5=0,'Market Data - EQ'!E217-'Market Data - EQ'!E218,IF('Value at Risk'!$C$6=0,('Market Data - EQ'!E217-'Market Data - EQ'!E218)/'Market Data - EQ'!E218,LN('Market Data - EQ'!E217/'Market Data - EQ'!E218)))</f>
        <v>-1.0495331538513716E-2</v>
      </c>
      <c r="K217" s="3">
        <f>IF('Value at Risk'!$C$5=0,'Market Data - EQ'!F217-'Market Data - EQ'!F218,IF('Value at Risk'!$C$6=0,('Market Data - EQ'!F217-'Market Data - EQ'!F218)/'Market Data - EQ'!F218,LN('Market Data - EQ'!F217/'Market Data - EQ'!F218)))</f>
        <v>-1.4723001638907019E-2</v>
      </c>
      <c r="L217" s="8">
        <f t="shared" si="3"/>
        <v>-7.4874648325951153E-3</v>
      </c>
    </row>
    <row r="218" spans="1:12" x14ac:dyDescent="0.25">
      <c r="A218" s="5">
        <v>43503</v>
      </c>
      <c r="B218" s="4">
        <v>1058.619995</v>
      </c>
      <c r="C218" s="4">
        <v>287.39999399999999</v>
      </c>
      <c r="D218" s="4">
        <v>358.64999399999999</v>
      </c>
      <c r="E218" s="4">
        <v>1514.9499510000001</v>
      </c>
      <c r="F218" s="4">
        <v>730.15002400000003</v>
      </c>
      <c r="G218" s="3">
        <f>IF('Value at Risk'!$C$5=0,'Market Data - EQ'!B218-'Market Data - EQ'!B219,IF('Value at Risk'!$C$6=0,('Market Data - EQ'!B218-'Market Data - EQ'!B219)/'Market Data - EQ'!B219,LN('Market Data - EQ'!B218/'Market Data - EQ'!B219)))</f>
        <v>-2.5439557695828468E-3</v>
      </c>
      <c r="H218" s="3">
        <f>IF('Value at Risk'!$C$5=0,'Market Data - EQ'!C218-'Market Data - EQ'!C219,IF('Value at Risk'!$C$6=0,('Market Data - EQ'!C218-'Market Data - EQ'!C219)/'Market Data - EQ'!C219,LN('Market Data - EQ'!C218/'Market Data - EQ'!C219)))</f>
        <v>-5.7083344352188399E-3</v>
      </c>
      <c r="I218" s="3">
        <f>IF('Value at Risk'!$C$5=0,'Market Data - EQ'!D218-'Market Data - EQ'!D219,IF('Value at Risk'!$C$6=0,('Market Data - EQ'!D218-'Market Data - EQ'!D219)/'Market Data - EQ'!D219,LN('Market Data - EQ'!D218/'Market Data - EQ'!D219)))</f>
        <v>-1.809056559166911E-3</v>
      </c>
      <c r="J218" s="3">
        <f>IF('Value at Risk'!$C$5=0,'Market Data - EQ'!E218-'Market Data - EQ'!E219,IF('Value at Risk'!$C$6=0,('Market Data - EQ'!E218-'Market Data - EQ'!E219)/'Market Data - EQ'!E219,LN('Market Data - EQ'!E218/'Market Data - EQ'!E219)))</f>
        <v>-7.2737444012885644E-3</v>
      </c>
      <c r="K218" s="3">
        <f>IF('Value at Risk'!$C$5=0,'Market Data - EQ'!F218-'Market Data - EQ'!F219,IF('Value at Risk'!$C$6=0,('Market Data - EQ'!F218-'Market Data - EQ'!F219)/'Market Data - EQ'!F219,LN('Market Data - EQ'!F218/'Market Data - EQ'!F219)))</f>
        <v>6.0627268343093768E-3</v>
      </c>
      <c r="L218" s="8">
        <f t="shared" si="3"/>
        <v>-2.2544728661895571E-3</v>
      </c>
    </row>
    <row r="219" spans="1:12" x14ac:dyDescent="0.25">
      <c r="A219" s="5">
        <v>43502</v>
      </c>
      <c r="B219" s="4">
        <v>1061.3199460000001</v>
      </c>
      <c r="C219" s="4">
        <v>289.04998799999998</v>
      </c>
      <c r="D219" s="4">
        <v>359.29998799999998</v>
      </c>
      <c r="E219" s="4">
        <v>1526.0500489999999</v>
      </c>
      <c r="F219" s="4">
        <v>725.75</v>
      </c>
      <c r="G219" s="3">
        <f>IF('Value at Risk'!$C$5=0,'Market Data - EQ'!B219-'Market Data - EQ'!B220,IF('Value at Risk'!$C$6=0,('Market Data - EQ'!B219-'Market Data - EQ'!B220)/'Market Data - EQ'!B220,LN('Market Data - EQ'!B219/'Market Data - EQ'!B220)))</f>
        <v>4.0584627515819222E-3</v>
      </c>
      <c r="H219" s="3">
        <f>IF('Value at Risk'!$C$5=0,'Market Data - EQ'!C219-'Market Data - EQ'!C220,IF('Value at Risk'!$C$6=0,('Market Data - EQ'!C219-'Market Data - EQ'!C220)/'Market Data - EQ'!C220,LN('Market Data - EQ'!C219/'Market Data - EQ'!C220)))</f>
        <v>1.5457558730881241E-2</v>
      </c>
      <c r="I219" s="3">
        <f>IF('Value at Risk'!$C$5=0,'Market Data - EQ'!D219-'Market Data - EQ'!D220,IF('Value at Risk'!$C$6=0,('Market Data - EQ'!D219-'Market Data - EQ'!D220)/'Market Data - EQ'!D220,LN('Market Data - EQ'!D219/'Market Data - EQ'!D220)))</f>
        <v>1.8857207183165279E-2</v>
      </c>
      <c r="J219" s="3">
        <f>IF('Value at Risk'!$C$5=0,'Market Data - EQ'!E219-'Market Data - EQ'!E220,IF('Value at Risk'!$C$6=0,('Market Data - EQ'!E219-'Market Data - EQ'!E220)/'Market Data - EQ'!E220,LN('Market Data - EQ'!E219/'Market Data - EQ'!E220)))</f>
        <v>-1.0183201556672648E-2</v>
      </c>
      <c r="K219" s="3">
        <f>IF('Value at Risk'!$C$5=0,'Market Data - EQ'!F219-'Market Data - EQ'!F220,IF('Value at Risk'!$C$6=0,('Market Data - EQ'!F219-'Market Data - EQ'!F220)/'Market Data - EQ'!F220,LN('Market Data - EQ'!F219/'Market Data - EQ'!F220)))</f>
        <v>-5.1405071967100752E-3</v>
      </c>
      <c r="L219" s="8">
        <f t="shared" si="3"/>
        <v>4.6099039824491431E-3</v>
      </c>
    </row>
    <row r="220" spans="1:12" x14ac:dyDescent="0.25">
      <c r="A220" s="5">
        <v>43501</v>
      </c>
      <c r="B220" s="4">
        <v>1057.030029</v>
      </c>
      <c r="C220" s="4">
        <v>284.64999399999999</v>
      </c>
      <c r="D220" s="4">
        <v>352.64999399999999</v>
      </c>
      <c r="E220" s="4">
        <v>1541.75</v>
      </c>
      <c r="F220" s="4">
        <v>729.5</v>
      </c>
      <c r="G220" s="3">
        <f>IF('Value at Risk'!$C$5=0,'Market Data - EQ'!B220-'Market Data - EQ'!B221,IF('Value at Risk'!$C$6=0,('Market Data - EQ'!B220-'Market Data - EQ'!B221)/'Market Data - EQ'!B221,LN('Market Data - EQ'!B220/'Market Data - EQ'!B221)))</f>
        <v>4.3518249923885999E-3</v>
      </c>
      <c r="H220" s="3">
        <f>IF('Value at Risk'!$C$5=0,'Market Data - EQ'!C220-'Market Data - EQ'!C221,IF('Value at Risk'!$C$6=0,('Market Data - EQ'!C220-'Market Data - EQ'!C221)/'Market Data - EQ'!C221,LN('Market Data - EQ'!C220/'Market Data - EQ'!C221)))</f>
        <v>2.4651592548620045E-3</v>
      </c>
      <c r="I220" s="3">
        <f>IF('Value at Risk'!$C$5=0,'Market Data - EQ'!D220-'Market Data - EQ'!D221,IF('Value at Risk'!$C$6=0,('Market Data - EQ'!D220-'Market Data - EQ'!D221)/'Market Data - EQ'!D221,LN('Market Data - EQ'!D220/'Market Data - EQ'!D221)))</f>
        <v>-5.3588889135711736E-3</v>
      </c>
      <c r="J220" s="3">
        <f>IF('Value at Risk'!$C$5=0,'Market Data - EQ'!E220-'Market Data - EQ'!E221,IF('Value at Risk'!$C$6=0,('Market Data - EQ'!E220-'Market Data - EQ'!E221)/'Market Data - EQ'!E221,LN('Market Data - EQ'!E220/'Market Data - EQ'!E221)))</f>
        <v>2.4656880608935523E-2</v>
      </c>
      <c r="K220" s="3">
        <f>IF('Value at Risk'!$C$5=0,'Market Data - EQ'!F220-'Market Data - EQ'!F221,IF('Value at Risk'!$C$6=0,('Market Data - EQ'!F220-'Market Data - EQ'!F221)/'Market Data - EQ'!F221,LN('Market Data - EQ'!F220/'Market Data - EQ'!F221)))</f>
        <v>1.2491325468424705E-2</v>
      </c>
      <c r="L220" s="8">
        <f t="shared" si="3"/>
        <v>7.7212602822079313E-3</v>
      </c>
    </row>
    <row r="221" spans="1:12" x14ac:dyDescent="0.25">
      <c r="A221" s="5">
        <v>43500</v>
      </c>
      <c r="B221" s="4">
        <v>1052.4499510000001</v>
      </c>
      <c r="C221" s="4">
        <v>283.95001200000002</v>
      </c>
      <c r="D221" s="4">
        <v>354.54998799999998</v>
      </c>
      <c r="E221" s="4">
        <v>1504.650024</v>
      </c>
      <c r="F221" s="4">
        <v>720.5</v>
      </c>
      <c r="G221" s="3">
        <f>IF('Value at Risk'!$C$5=0,'Market Data - EQ'!B221-'Market Data - EQ'!B222,IF('Value at Risk'!$C$6=0,('Market Data - EQ'!B221-'Market Data - EQ'!B222)/'Market Data - EQ'!B222,LN('Market Data - EQ'!B221/'Market Data - EQ'!B222)))</f>
        <v>6.9171850907927867E-3</v>
      </c>
      <c r="H221" s="3">
        <f>IF('Value at Risk'!$C$5=0,'Market Data - EQ'!C221-'Market Data - EQ'!C222,IF('Value at Risk'!$C$6=0,('Market Data - EQ'!C221-'Market Data - EQ'!C222)/'Market Data - EQ'!C222,LN('Market Data - EQ'!C221/'Market Data - EQ'!C222)))</f>
        <v>-1.5822152232534057E-3</v>
      </c>
      <c r="I221" s="3">
        <f>IF('Value at Risk'!$C$5=0,'Market Data - EQ'!D221-'Market Data - EQ'!D222,IF('Value at Risk'!$C$6=0,('Market Data - EQ'!D221-'Market Data - EQ'!D222)/'Market Data - EQ'!D222,LN('Market Data - EQ'!D221/'Market Data - EQ'!D222)))</f>
        <v>-2.8198506045937671E-4</v>
      </c>
      <c r="J221" s="3">
        <f>IF('Value at Risk'!$C$5=0,'Market Data - EQ'!E221-'Market Data - EQ'!E222,IF('Value at Risk'!$C$6=0,('Market Data - EQ'!E221-'Market Data - EQ'!E222)/'Market Data - EQ'!E222,LN('Market Data - EQ'!E221/'Market Data - EQ'!E222)))</f>
        <v>-6.9300068202355122E-3</v>
      </c>
      <c r="K221" s="3">
        <f>IF('Value at Risk'!$C$5=0,'Market Data - EQ'!F221-'Market Data - EQ'!F222,IF('Value at Risk'!$C$6=0,('Market Data - EQ'!F221-'Market Data - EQ'!F222)/'Market Data - EQ'!F222,LN('Market Data - EQ'!F221/'Market Data - EQ'!F222)))</f>
        <v>4.5311955385151622E-3</v>
      </c>
      <c r="L221" s="8">
        <f t="shared" si="3"/>
        <v>5.3083470507193085E-4</v>
      </c>
    </row>
    <row r="222" spans="1:12" x14ac:dyDescent="0.25">
      <c r="A222" s="5">
        <v>43497</v>
      </c>
      <c r="B222" s="4">
        <v>1045.219971</v>
      </c>
      <c r="C222" s="4">
        <v>284.39999399999999</v>
      </c>
      <c r="D222" s="4">
        <v>354.64999399999999</v>
      </c>
      <c r="E222" s="4">
        <v>1515.150024</v>
      </c>
      <c r="F222" s="4">
        <v>717.25</v>
      </c>
      <c r="G222" s="3">
        <f>IF('Value at Risk'!$C$5=0,'Market Data - EQ'!B222-'Market Data - EQ'!B223,IF('Value at Risk'!$C$6=0,('Market Data - EQ'!B222-'Market Data - EQ'!B223)/'Market Data - EQ'!B223,LN('Market Data - EQ'!B222/'Market Data - EQ'!B223)))</f>
        <v>5.048222685652911E-3</v>
      </c>
      <c r="H222" s="3">
        <f>IF('Value at Risk'!$C$5=0,'Market Data - EQ'!C222-'Market Data - EQ'!C223,IF('Value at Risk'!$C$6=0,('Market Data - EQ'!C222-'Market Data - EQ'!C223)/'Market Data - EQ'!C223,LN('Market Data - EQ'!C222/'Market Data - EQ'!C223)))</f>
        <v>-3.1500085778990349E-2</v>
      </c>
      <c r="I222" s="3">
        <f>IF('Value at Risk'!$C$5=0,'Market Data - EQ'!D222-'Market Data - EQ'!D223,IF('Value at Risk'!$C$6=0,('Market Data - EQ'!D222-'Market Data - EQ'!D223)/'Market Data - EQ'!D223,LN('Market Data - EQ'!D222/'Market Data - EQ'!D223)))</f>
        <v>-2.6889882500538982E-2</v>
      </c>
      <c r="J222" s="3">
        <f>IF('Value at Risk'!$C$5=0,'Market Data - EQ'!E222-'Market Data - EQ'!E223,IF('Value at Risk'!$C$6=0,('Market Data - EQ'!E222-'Market Data - EQ'!E223)/'Market Data - EQ'!E223,LN('Market Data - EQ'!E222/'Market Data - EQ'!E223)))</f>
        <v>6.3763904802610029E-3</v>
      </c>
      <c r="K222" s="3">
        <f>IF('Value at Risk'!$C$5=0,'Market Data - EQ'!F222-'Market Data - EQ'!F223,IF('Value at Risk'!$C$6=0,('Market Data - EQ'!F222-'Market Data - EQ'!F223)/'Market Data - EQ'!F223,LN('Market Data - EQ'!F222/'Market Data - EQ'!F223)))</f>
        <v>-7.541181554595041E-3</v>
      </c>
      <c r="L222" s="8">
        <f t="shared" si="3"/>
        <v>-1.090130733364209E-2</v>
      </c>
    </row>
    <row r="223" spans="1:12" x14ac:dyDescent="0.25">
      <c r="A223" s="5">
        <v>43496</v>
      </c>
      <c r="B223" s="4">
        <v>1039.969971</v>
      </c>
      <c r="C223" s="4">
        <v>293.64999399999999</v>
      </c>
      <c r="D223" s="4">
        <v>364.45001200000002</v>
      </c>
      <c r="E223" s="4">
        <v>1505.5500489999999</v>
      </c>
      <c r="F223" s="4">
        <v>722.70001200000002</v>
      </c>
      <c r="G223" s="3">
        <f>IF('Value at Risk'!$C$5=0,'Market Data - EQ'!B223-'Market Data - EQ'!B224,IF('Value at Risk'!$C$6=0,('Market Data - EQ'!B223-'Market Data - EQ'!B224)/'Market Data - EQ'!B224,LN('Market Data - EQ'!B223/'Market Data - EQ'!B224)))</f>
        <v>2.22342316150996E-2</v>
      </c>
      <c r="H223" s="3">
        <f>IF('Value at Risk'!$C$5=0,'Market Data - EQ'!C223-'Market Data - EQ'!C224,IF('Value at Risk'!$C$6=0,('Market Data - EQ'!C223-'Market Data - EQ'!C224)/'Market Data - EQ'!C224,LN('Market Data - EQ'!C223/'Market Data - EQ'!C224)))</f>
        <v>2.156890499625367E-2</v>
      </c>
      <c r="I223" s="3">
        <f>IF('Value at Risk'!$C$5=0,'Market Data - EQ'!D223-'Market Data - EQ'!D224,IF('Value at Risk'!$C$6=0,('Market Data - EQ'!D223-'Market Data - EQ'!D224)/'Market Data - EQ'!D224,LN('Market Data - EQ'!D223/'Market Data - EQ'!D224)))</f>
        <v>-3.9627822459050851E-3</v>
      </c>
      <c r="J223" s="3">
        <f>IF('Value at Risk'!$C$5=0,'Market Data - EQ'!E223-'Market Data - EQ'!E224,IF('Value at Risk'!$C$6=0,('Market Data - EQ'!E223-'Market Data - EQ'!E224)/'Market Data - EQ'!E224,LN('Market Data - EQ'!E223/'Market Data - EQ'!E224)))</f>
        <v>1.9951272595915261E-2</v>
      </c>
      <c r="K223" s="3">
        <f>IF('Value at Risk'!$C$5=0,'Market Data - EQ'!F223-'Market Data - EQ'!F224,IF('Value at Risk'!$C$6=0,('Market Data - EQ'!F223-'Market Data - EQ'!F224)/'Market Data - EQ'!F224,LN('Market Data - EQ'!F223/'Market Data - EQ'!F224)))</f>
        <v>4.5951225774057879E-2</v>
      </c>
      <c r="L223" s="8">
        <f t="shared" si="3"/>
        <v>2.1148570547084265E-2</v>
      </c>
    </row>
    <row r="224" spans="1:12" x14ac:dyDescent="0.25">
      <c r="A224" s="5">
        <v>43495</v>
      </c>
      <c r="B224" s="4">
        <v>1017.349976</v>
      </c>
      <c r="C224" s="4">
        <v>287.45001200000002</v>
      </c>
      <c r="D224" s="4">
        <v>365.89999399999999</v>
      </c>
      <c r="E224" s="4">
        <v>1476.099976</v>
      </c>
      <c r="F224" s="4">
        <v>690.95001200000002</v>
      </c>
      <c r="G224" s="3">
        <f>IF('Value at Risk'!$C$5=0,'Market Data - EQ'!B224-'Market Data - EQ'!B225,IF('Value at Risk'!$C$6=0,('Market Data - EQ'!B224-'Market Data - EQ'!B225)/'Market Data - EQ'!B225,LN('Market Data - EQ'!B224/'Market Data - EQ'!B225)))</f>
        <v>-1.1129541654988757E-2</v>
      </c>
      <c r="H224" s="3">
        <f>IF('Value at Risk'!$C$5=0,'Market Data - EQ'!C224-'Market Data - EQ'!C225,IF('Value at Risk'!$C$6=0,('Market Data - EQ'!C224-'Market Data - EQ'!C225)/'Market Data - EQ'!C225,LN('Market Data - EQ'!C224/'Market Data - EQ'!C225)))</f>
        <v>2.4411995201454158E-2</v>
      </c>
      <c r="I224" s="3">
        <f>IF('Value at Risk'!$C$5=0,'Market Data - EQ'!D224-'Market Data - EQ'!D225,IF('Value at Risk'!$C$6=0,('Market Data - EQ'!D224-'Market Data - EQ'!D225)/'Market Data - EQ'!D225,LN('Market Data - EQ'!D224/'Market Data - EQ'!D225)))</f>
        <v>5.4922841777318536E-2</v>
      </c>
      <c r="J224" s="3">
        <f>IF('Value at Risk'!$C$5=0,'Market Data - EQ'!E224-'Market Data - EQ'!E225,IF('Value at Risk'!$C$6=0,('Market Data - EQ'!E224-'Market Data - EQ'!E225)/'Market Data - EQ'!E225,LN('Market Data - EQ'!E224/'Market Data - EQ'!E225)))</f>
        <v>9.7479223134727469E-3</v>
      </c>
      <c r="K224" s="3">
        <f>IF('Value at Risk'!$C$5=0,'Market Data - EQ'!F224-'Market Data - EQ'!F225,IF('Value at Risk'!$C$6=0,('Market Data - EQ'!F224-'Market Data - EQ'!F225)/'Market Data - EQ'!F225,LN('Market Data - EQ'!F224/'Market Data - EQ'!F225)))</f>
        <v>4.570565569428682E-2</v>
      </c>
      <c r="L224" s="8">
        <f t="shared" si="3"/>
        <v>2.4731774666308701E-2</v>
      </c>
    </row>
    <row r="225" spans="1:12" x14ac:dyDescent="0.25">
      <c r="A225" s="5">
        <v>43494</v>
      </c>
      <c r="B225" s="4">
        <v>1028.8000489999999</v>
      </c>
      <c r="C225" s="4">
        <v>280.60000600000001</v>
      </c>
      <c r="D225" s="4">
        <v>346.85000600000001</v>
      </c>
      <c r="E225" s="4">
        <v>1461.849976</v>
      </c>
      <c r="F225" s="4">
        <v>660.75</v>
      </c>
      <c r="G225" s="3">
        <f>IF('Value at Risk'!$C$5=0,'Market Data - EQ'!B225-'Market Data - EQ'!B226,IF('Value at Risk'!$C$6=0,('Market Data - EQ'!B225-'Market Data - EQ'!B226)/'Market Data - EQ'!B226,LN('Market Data - EQ'!B225/'Market Data - EQ'!B226)))</f>
        <v>-1.2734171109086114E-2</v>
      </c>
      <c r="H225" s="3">
        <f>IF('Value at Risk'!$C$5=0,'Market Data - EQ'!C225-'Market Data - EQ'!C226,IF('Value at Risk'!$C$6=0,('Market Data - EQ'!C225-'Market Data - EQ'!C226)/'Market Data - EQ'!C226,LN('Market Data - EQ'!C225/'Market Data - EQ'!C226)))</f>
        <v>-3.5511362879729483E-3</v>
      </c>
      <c r="I225" s="3">
        <f>IF('Value at Risk'!$C$5=0,'Market Data - EQ'!D225-'Market Data - EQ'!D226,IF('Value at Risk'!$C$6=0,('Market Data - EQ'!D225-'Market Data - EQ'!D226)/'Market Data - EQ'!D226,LN('Market Data - EQ'!D225/'Market Data - EQ'!D226)))</f>
        <v>9.605641435796012E-3</v>
      </c>
      <c r="J225" s="3">
        <f>IF('Value at Risk'!$C$5=0,'Market Data - EQ'!E225-'Market Data - EQ'!E226,IF('Value at Risk'!$C$6=0,('Market Data - EQ'!E225-'Market Data - EQ'!E226)/'Market Data - EQ'!E226,LN('Market Data - EQ'!E225/'Market Data - EQ'!E226)))</f>
        <v>1.2571881703970436E-2</v>
      </c>
      <c r="K225" s="3">
        <f>IF('Value at Risk'!$C$5=0,'Market Data - EQ'!F225-'Market Data - EQ'!F226,IF('Value at Risk'!$C$6=0,('Market Data - EQ'!F225-'Market Data - EQ'!F226)/'Market Data - EQ'!F226,LN('Market Data - EQ'!F225/'Market Data - EQ'!F226)))</f>
        <v>6.7804541846190241E-3</v>
      </c>
      <c r="L225" s="8">
        <f t="shared" si="3"/>
        <v>2.5345339854652821E-3</v>
      </c>
    </row>
    <row r="226" spans="1:12" x14ac:dyDescent="0.25">
      <c r="A226" s="5">
        <v>43493</v>
      </c>
      <c r="B226" s="4">
        <v>1042.0699460000001</v>
      </c>
      <c r="C226" s="4">
        <v>281.60000600000001</v>
      </c>
      <c r="D226" s="4">
        <v>343.54998799999998</v>
      </c>
      <c r="E226" s="4">
        <v>1443.6999510000001</v>
      </c>
      <c r="F226" s="4">
        <v>656.29998799999998</v>
      </c>
      <c r="G226" s="3">
        <f>IF('Value at Risk'!$C$5=0,'Market Data - EQ'!B226-'Market Data - EQ'!B227,IF('Value at Risk'!$C$6=0,('Market Data - EQ'!B226-'Market Data - EQ'!B227)/'Market Data - EQ'!B227,LN('Market Data - EQ'!B226/'Market Data - EQ'!B227)))</f>
        <v>-5.6584484732823733E-3</v>
      </c>
      <c r="H226" s="3">
        <f>IF('Value at Risk'!$C$5=0,'Market Data - EQ'!C226-'Market Data - EQ'!C227,IF('Value at Risk'!$C$6=0,('Market Data - EQ'!C226-'Market Data - EQ'!C227)/'Market Data - EQ'!C227,LN('Market Data - EQ'!C226/'Market Data - EQ'!C227)))</f>
        <v>-1.3314604344385462E-2</v>
      </c>
      <c r="I226" s="3">
        <f>IF('Value at Risk'!$C$5=0,'Market Data - EQ'!D226-'Market Data - EQ'!D227,IF('Value at Risk'!$C$6=0,('Market Data - EQ'!D226-'Market Data - EQ'!D227)/'Market Data - EQ'!D227,LN('Market Data - EQ'!D226/'Market Data - EQ'!D227)))</f>
        <v>-3.8213951683741906E-2</v>
      </c>
      <c r="J226" s="3">
        <f>IF('Value at Risk'!$C$5=0,'Market Data - EQ'!E226-'Market Data - EQ'!E227,IF('Value at Risk'!$C$6=0,('Market Data - EQ'!E226-'Market Data - EQ'!E227)/'Market Data - EQ'!E227,LN('Market Data - EQ'!E226/'Market Data - EQ'!E227)))</f>
        <v>-2.7746024873119658E-2</v>
      </c>
      <c r="K226" s="3">
        <f>IF('Value at Risk'!$C$5=0,'Market Data - EQ'!F226-'Market Data - EQ'!F227,IF('Value at Risk'!$C$6=0,('Market Data - EQ'!F226-'Market Data - EQ'!F227)/'Market Data - EQ'!F227,LN('Market Data - EQ'!F226/'Market Data - EQ'!F227)))</f>
        <v>-2.0082138111235558E-2</v>
      </c>
      <c r="L226" s="8">
        <f t="shared" si="3"/>
        <v>-2.1003033497152993E-2</v>
      </c>
    </row>
    <row r="227" spans="1:12" x14ac:dyDescent="0.25">
      <c r="A227" s="5">
        <v>43490</v>
      </c>
      <c r="B227" s="4">
        <v>1048</v>
      </c>
      <c r="C227" s="4">
        <v>285.39999399999999</v>
      </c>
      <c r="D227" s="4">
        <v>357.20001200000002</v>
      </c>
      <c r="E227" s="4">
        <v>1484.900024</v>
      </c>
      <c r="F227" s="4">
        <v>669.75</v>
      </c>
      <c r="G227" s="3">
        <f>IF('Value at Risk'!$C$5=0,'Market Data - EQ'!B227-'Market Data - EQ'!B228,IF('Value at Risk'!$C$6=0,('Market Data - EQ'!B227-'Market Data - EQ'!B228)/'Market Data - EQ'!B228,LN('Market Data - EQ'!B227/'Market Data - EQ'!B228)))</f>
        <v>-2.96825768213078E-3</v>
      </c>
      <c r="H227" s="3">
        <f>IF('Value at Risk'!$C$5=0,'Market Data - EQ'!C227-'Market Data - EQ'!C228,IF('Value at Risk'!$C$6=0,('Market Data - EQ'!C227-'Market Data - EQ'!C228)/'Market Data - EQ'!C228,LN('Market Data - EQ'!C227/'Market Data - EQ'!C228)))</f>
        <v>-9.1997712563695461E-3</v>
      </c>
      <c r="I227" s="3">
        <f>IF('Value at Risk'!$C$5=0,'Market Data - EQ'!D227-'Market Data - EQ'!D228,IF('Value at Risk'!$C$6=0,('Market Data - EQ'!D227-'Market Data - EQ'!D228)/'Market Data - EQ'!D228,LN('Market Data - EQ'!D227/'Market Data - EQ'!D228)))</f>
        <v>-2.0833268229164443E-2</v>
      </c>
      <c r="J227" s="3">
        <f>IF('Value at Risk'!$C$5=0,'Market Data - EQ'!E227-'Market Data - EQ'!E228,IF('Value at Risk'!$C$6=0,('Market Data - EQ'!E227-'Market Data - EQ'!E228)/'Market Data - EQ'!E228,LN('Market Data - EQ'!E227/'Market Data - EQ'!E228)))</f>
        <v>-3.6234481798637546E-3</v>
      </c>
      <c r="K227" s="3">
        <f>IF('Value at Risk'!$C$5=0,'Market Data - EQ'!F227-'Market Data - EQ'!F228,IF('Value at Risk'!$C$6=0,('Market Data - EQ'!F227-'Market Data - EQ'!F228)/'Market Data - EQ'!F228,LN('Market Data - EQ'!F227/'Market Data - EQ'!F228)))</f>
        <v>9.1915554575493687E-3</v>
      </c>
      <c r="L227" s="8">
        <f t="shared" si="3"/>
        <v>-5.486637977995831E-3</v>
      </c>
    </row>
    <row r="228" spans="1:12" x14ac:dyDescent="0.25">
      <c r="A228" s="5">
        <v>43489</v>
      </c>
      <c r="B228" s="4">
        <v>1051.119995</v>
      </c>
      <c r="C228" s="4">
        <v>288.04998799999998</v>
      </c>
      <c r="D228" s="4">
        <v>364.79998799999998</v>
      </c>
      <c r="E228" s="4">
        <v>1490.3000489999999</v>
      </c>
      <c r="F228" s="4">
        <v>663.65002400000003</v>
      </c>
      <c r="G228" s="3">
        <f>IF('Value at Risk'!$C$5=0,'Market Data - EQ'!B228-'Market Data - EQ'!B229,IF('Value at Risk'!$C$6=0,('Market Data - EQ'!B228-'Market Data - EQ'!B229)/'Market Data - EQ'!B229,LN('Market Data - EQ'!B228/'Market Data - EQ'!B229)))</f>
        <v>-1.5008607139186979E-3</v>
      </c>
      <c r="H228" s="3">
        <f>IF('Value at Risk'!$C$5=0,'Market Data - EQ'!C228-'Market Data - EQ'!C229,IF('Value at Risk'!$C$6=0,('Market Data - EQ'!C228-'Market Data - EQ'!C229)/'Market Data - EQ'!C229,LN('Market Data - EQ'!C228/'Market Data - EQ'!C229)))</f>
        <v>4.8839840547842206E-3</v>
      </c>
      <c r="I228" s="3">
        <f>IF('Value at Risk'!$C$5=0,'Market Data - EQ'!D228-'Market Data - EQ'!D229,IF('Value at Risk'!$C$6=0,('Market Data - EQ'!D228-'Market Data - EQ'!D229)/'Market Data - EQ'!D229,LN('Market Data - EQ'!D228/'Market Data - EQ'!D229)))</f>
        <v>-7.07677202629461E-3</v>
      </c>
      <c r="J228" s="3">
        <f>IF('Value at Risk'!$C$5=0,'Market Data - EQ'!E228-'Market Data - EQ'!E229,IF('Value at Risk'!$C$6=0,('Market Data - EQ'!E228-'Market Data - EQ'!E229)/'Market Data - EQ'!E229,LN('Market Data - EQ'!E228/'Market Data - EQ'!E229)))</f>
        <v>-3.1437799331104051E-3</v>
      </c>
      <c r="K228" s="3">
        <f>IF('Value at Risk'!$C$5=0,'Market Data - EQ'!F228-'Market Data - EQ'!F229,IF('Value at Risk'!$C$6=0,('Market Data - EQ'!F228-'Market Data - EQ'!F229)/'Market Data - EQ'!F229,LN('Market Data - EQ'!F228/'Market Data - EQ'!F229)))</f>
        <v>3.098621635983948E-3</v>
      </c>
      <c r="L228" s="8">
        <f t="shared" si="3"/>
        <v>-7.4776139651110888E-4</v>
      </c>
    </row>
    <row r="229" spans="1:12" x14ac:dyDescent="0.25">
      <c r="A229" s="5">
        <v>43488</v>
      </c>
      <c r="B229" s="4">
        <v>1052.6999510000001</v>
      </c>
      <c r="C229" s="4">
        <v>286.64999399999999</v>
      </c>
      <c r="D229" s="4">
        <v>367.39999399999999</v>
      </c>
      <c r="E229" s="4">
        <v>1495</v>
      </c>
      <c r="F229" s="4">
        <v>661.59997599999997</v>
      </c>
      <c r="G229" s="3">
        <f>IF('Value at Risk'!$C$5=0,'Market Data - EQ'!B229-'Market Data - EQ'!B230,IF('Value at Risk'!$C$6=0,('Market Data - EQ'!B229-'Market Data - EQ'!B230)/'Market Data - EQ'!B230,LN('Market Data - EQ'!B229/'Market Data - EQ'!B230)))</f>
        <v>-1.4261330077709258E-2</v>
      </c>
      <c r="H229" s="3">
        <f>IF('Value at Risk'!$C$5=0,'Market Data - EQ'!C229-'Market Data - EQ'!C230,IF('Value at Risk'!$C$6=0,('Market Data - EQ'!C229-'Market Data - EQ'!C230)/'Market Data - EQ'!C230,LN('Market Data - EQ'!C229/'Market Data - EQ'!C230)))</f>
        <v>-1.240312144702845E-2</v>
      </c>
      <c r="I229" s="3">
        <f>IF('Value at Risk'!$C$5=0,'Market Data - EQ'!D229-'Market Data - EQ'!D230,IF('Value at Risk'!$C$6=0,('Market Data - EQ'!D229-'Market Data - EQ'!D230)/'Market Data - EQ'!D230,LN('Market Data - EQ'!D229/'Market Data - EQ'!D230)))</f>
        <v>-4.4709227845849235E-3</v>
      </c>
      <c r="J229" s="3">
        <f>IF('Value at Risk'!$C$5=0,'Market Data - EQ'!E229-'Market Data - EQ'!E230,IF('Value at Risk'!$C$6=0,('Market Data - EQ'!E229-'Market Data - EQ'!E230)/'Market Data - EQ'!E230,LN('Market Data - EQ'!E229/'Market Data - EQ'!E230)))</f>
        <v>-4.395295754852869E-3</v>
      </c>
      <c r="K229" s="3">
        <f>IF('Value at Risk'!$C$5=0,'Market Data - EQ'!F229-'Market Data - EQ'!F230,IF('Value at Risk'!$C$6=0,('Market Data - EQ'!F229-'Market Data - EQ'!F230)/'Market Data - EQ'!F230,LN('Market Data - EQ'!F229/'Market Data - EQ'!F230)))</f>
        <v>0</v>
      </c>
      <c r="L229" s="8">
        <f t="shared" si="3"/>
        <v>-7.1061340128351011E-3</v>
      </c>
    </row>
    <row r="230" spans="1:12" x14ac:dyDescent="0.25">
      <c r="A230" s="5">
        <v>43487</v>
      </c>
      <c r="B230" s="4">
        <v>1067.9300539999999</v>
      </c>
      <c r="C230" s="4">
        <v>290.25</v>
      </c>
      <c r="D230" s="4">
        <v>369.04998799999998</v>
      </c>
      <c r="E230" s="4">
        <v>1501.599976</v>
      </c>
      <c r="F230" s="4">
        <v>661.59997599999997</v>
      </c>
      <c r="G230" s="3">
        <f>IF('Value at Risk'!$C$5=0,'Market Data - EQ'!B230-'Market Data - EQ'!B231,IF('Value at Risk'!$C$6=0,('Market Data - EQ'!B230-'Market Data - EQ'!B231)/'Market Data - EQ'!B231,LN('Market Data - EQ'!B230/'Market Data - EQ'!B231)))</f>
        <v>-5.7164731429885339E-3</v>
      </c>
      <c r="H230" s="3">
        <f>IF('Value at Risk'!$C$5=0,'Market Data - EQ'!C230-'Market Data - EQ'!C231,IF('Value at Risk'!$C$6=0,('Market Data - EQ'!C230-'Market Data - EQ'!C231)/'Market Data - EQ'!C231,LN('Market Data - EQ'!C230/'Market Data - EQ'!C231)))</f>
        <v>-7.5226941690124298E-3</v>
      </c>
      <c r="I230" s="3">
        <f>IF('Value at Risk'!$C$5=0,'Market Data - EQ'!D230-'Market Data - EQ'!D231,IF('Value at Risk'!$C$6=0,('Market Data - EQ'!D230-'Market Data - EQ'!D231)/'Market Data - EQ'!D231,LN('Market Data - EQ'!D230/'Market Data - EQ'!D231)))</f>
        <v>-7.1294697725219078E-3</v>
      </c>
      <c r="J230" s="3">
        <f>IF('Value at Risk'!$C$5=0,'Market Data - EQ'!E230-'Market Data - EQ'!E231,IF('Value at Risk'!$C$6=0,('Market Data - EQ'!E230-'Market Data - EQ'!E231)/'Market Data - EQ'!E231,LN('Market Data - EQ'!E230/'Market Data - EQ'!E231)))</f>
        <v>-3.9798355634890247E-3</v>
      </c>
      <c r="K230" s="3">
        <f>IF('Value at Risk'!$C$5=0,'Market Data - EQ'!F230-'Market Data - EQ'!F231,IF('Value at Risk'!$C$6=0,('Market Data - EQ'!F230-'Market Data - EQ'!F231)/'Market Data - EQ'!F231,LN('Market Data - EQ'!F230/'Market Data - EQ'!F231)))</f>
        <v>1.9687839218921581E-3</v>
      </c>
      <c r="L230" s="8">
        <f t="shared" si="3"/>
        <v>-4.4759377452239469E-3</v>
      </c>
    </row>
    <row r="231" spans="1:12" x14ac:dyDescent="0.25">
      <c r="A231" s="5">
        <v>43486</v>
      </c>
      <c r="B231" s="4">
        <v>1074.0699460000001</v>
      </c>
      <c r="C231" s="4">
        <v>292.45001200000002</v>
      </c>
      <c r="D231" s="4">
        <v>371.70001200000002</v>
      </c>
      <c r="E231" s="4">
        <v>1507.599976</v>
      </c>
      <c r="F231" s="4">
        <v>660.29998799999998</v>
      </c>
      <c r="G231" s="3">
        <f>IF('Value at Risk'!$C$5=0,'Market Data - EQ'!B231-'Market Data - EQ'!B232,IF('Value at Risk'!$C$6=0,('Market Data - EQ'!B231-'Market Data - EQ'!B232)/'Market Data - EQ'!B232,LN('Market Data - EQ'!B231/'Market Data - EQ'!B232)))</f>
        <v>8.4027631083951771E-3</v>
      </c>
      <c r="H231" s="3">
        <f>IF('Value at Risk'!$C$5=0,'Market Data - EQ'!C231-'Market Data - EQ'!C232,IF('Value at Risk'!$C$6=0,('Market Data - EQ'!C231-'Market Data - EQ'!C232)/'Market Data - EQ'!C232,LN('Market Data - EQ'!C231/'Market Data - EQ'!C232)))</f>
        <v>-8.4760125386941828E-3</v>
      </c>
      <c r="I231" s="3">
        <f>IF('Value at Risk'!$C$5=0,'Market Data - EQ'!D231-'Market Data - EQ'!D232,IF('Value at Risk'!$C$6=0,('Market Data - EQ'!D231-'Market Data - EQ'!D232)/'Market Data - EQ'!D232,LN('Market Data - EQ'!D231/'Market Data - EQ'!D232)))</f>
        <v>-8.0641935483866892E-4</v>
      </c>
      <c r="J231" s="3">
        <f>IF('Value at Risk'!$C$5=0,'Market Data - EQ'!E231-'Market Data - EQ'!E232,IF('Value at Risk'!$C$6=0,('Market Data - EQ'!E231-'Market Data - EQ'!E232)/'Market Data - EQ'!E232,LN('Market Data - EQ'!E231/'Market Data - EQ'!E232)))</f>
        <v>-6.1309564591318514E-3</v>
      </c>
      <c r="K231" s="3">
        <f>IF('Value at Risk'!$C$5=0,'Market Data - EQ'!F231-'Market Data - EQ'!F232,IF('Value at Risk'!$C$6=0,('Market Data - EQ'!F231-'Market Data - EQ'!F232)/'Market Data - EQ'!F232,LN('Market Data - EQ'!F231/'Market Data - EQ'!F232)))</f>
        <v>-6.4700393549216514E-3</v>
      </c>
      <c r="L231" s="8">
        <f t="shared" si="3"/>
        <v>-2.6961329198382355E-3</v>
      </c>
    </row>
    <row r="232" spans="1:12" x14ac:dyDescent="0.25">
      <c r="A232" s="5">
        <v>43483</v>
      </c>
      <c r="B232" s="4">
        <v>1065.119995</v>
      </c>
      <c r="C232" s="4">
        <v>294.95001200000002</v>
      </c>
      <c r="D232" s="4">
        <v>372</v>
      </c>
      <c r="E232" s="4">
        <v>1516.900024</v>
      </c>
      <c r="F232" s="4">
        <v>664.59997599999997</v>
      </c>
      <c r="G232" s="3">
        <f>IF('Value at Risk'!$C$5=0,'Market Data - EQ'!B232-'Market Data - EQ'!B233,IF('Value at Risk'!$C$6=0,('Market Data - EQ'!B232-'Market Data - EQ'!B233)/'Market Data - EQ'!B233,LN('Market Data - EQ'!B232/'Market Data - EQ'!B233)))</f>
        <v>-9.6612013020037522E-4</v>
      </c>
      <c r="H232" s="3">
        <f>IF('Value at Risk'!$C$5=0,'Market Data - EQ'!C232-'Market Data - EQ'!C233,IF('Value at Risk'!$C$6=0,('Market Data - EQ'!C232-'Market Data - EQ'!C233)/'Market Data - EQ'!C233,LN('Market Data - EQ'!C232/'Market Data - EQ'!C233)))</f>
        <v>-8.2380028561802095E-3</v>
      </c>
      <c r="I232" s="3">
        <f>IF('Value at Risk'!$C$5=0,'Market Data - EQ'!D232-'Market Data - EQ'!D233,IF('Value at Risk'!$C$6=0,('Market Data - EQ'!D232-'Market Data - EQ'!D233)/'Market Data - EQ'!D233,LN('Market Data - EQ'!D232/'Market Data - EQ'!D233)))</f>
        <v>-6.9407526918192509E-3</v>
      </c>
      <c r="J232" s="3">
        <f>IF('Value at Risk'!$C$5=0,'Market Data - EQ'!E232-'Market Data - EQ'!E233,IF('Value at Risk'!$C$6=0,('Market Data - EQ'!E232-'Market Data - EQ'!E233)/'Market Data - EQ'!E233,LN('Market Data - EQ'!E232/'Market Data - EQ'!E233)))</f>
        <v>-4.0052370321733222E-3</v>
      </c>
      <c r="K232" s="3">
        <f>IF('Value at Risk'!$C$5=0,'Market Data - EQ'!F232-'Market Data - EQ'!F233,IF('Value at Risk'!$C$6=0,('Market Data - EQ'!F232-'Market Data - EQ'!F233)/'Market Data - EQ'!F233,LN('Market Data - EQ'!F232/'Market Data - EQ'!F233)))</f>
        <v>-1.780839070804505E-2</v>
      </c>
      <c r="L232" s="8">
        <f t="shared" si="3"/>
        <v>-7.5917006836836417E-3</v>
      </c>
    </row>
    <row r="233" spans="1:12" x14ac:dyDescent="0.25">
      <c r="A233" s="5">
        <v>43482</v>
      </c>
      <c r="B233" s="4">
        <v>1066.150024</v>
      </c>
      <c r="C233" s="4">
        <v>297.39999399999999</v>
      </c>
      <c r="D233" s="4">
        <v>374.60000600000001</v>
      </c>
      <c r="E233" s="4">
        <v>1523</v>
      </c>
      <c r="F233" s="4">
        <v>676.65002400000003</v>
      </c>
      <c r="G233" s="3">
        <f>IF('Value at Risk'!$C$5=0,'Market Data - EQ'!B233-'Market Data - EQ'!B234,IF('Value at Risk'!$C$6=0,('Market Data - EQ'!B233-'Market Data - EQ'!B234)/'Market Data - EQ'!B234,LN('Market Data - EQ'!B233/'Market Data - EQ'!B234)))</f>
        <v>5.7070541807087644E-3</v>
      </c>
      <c r="H233" s="3">
        <f>IF('Value at Risk'!$C$5=0,'Market Data - EQ'!C233-'Market Data - EQ'!C234,IF('Value at Risk'!$C$6=0,('Market Data - EQ'!C233-'Market Data - EQ'!C234)/'Market Data - EQ'!C234,LN('Market Data - EQ'!C233/'Market Data - EQ'!C234)))</f>
        <v>-1.8967508209813785E-2</v>
      </c>
      <c r="I233" s="3">
        <f>IF('Value at Risk'!$C$5=0,'Market Data - EQ'!D233-'Market Data - EQ'!D234,IF('Value at Risk'!$C$6=0,('Market Data - EQ'!D233-'Market Data - EQ'!D234)/'Market Data - EQ'!D234,LN('Market Data - EQ'!D233/'Market Data - EQ'!D234)))</f>
        <v>-1.8651266250506175E-3</v>
      </c>
      <c r="J233" s="3">
        <f>IF('Value at Risk'!$C$5=0,'Market Data - EQ'!E233-'Market Data - EQ'!E234,IF('Value at Risk'!$C$6=0,('Market Data - EQ'!E233-'Market Data - EQ'!E234)/'Market Data - EQ'!E234,LN('Market Data - EQ'!E233/'Market Data - EQ'!E234)))</f>
        <v>-2.4234958529844451E-3</v>
      </c>
      <c r="K233" s="3">
        <f>IF('Value at Risk'!$C$5=0,'Market Data - EQ'!F233-'Market Data - EQ'!F234,IF('Value at Risk'!$C$6=0,('Market Data - EQ'!F233-'Market Data - EQ'!F234)/'Market Data - EQ'!F234,LN('Market Data - EQ'!F233/'Market Data - EQ'!F234)))</f>
        <v>1.9051240963855468E-2</v>
      </c>
      <c r="L233" s="8">
        <f t="shared" si="3"/>
        <v>3.0043289134307693E-4</v>
      </c>
    </row>
    <row r="234" spans="1:12" x14ac:dyDescent="0.25">
      <c r="A234" s="5">
        <v>43481</v>
      </c>
      <c r="B234" s="4">
        <v>1060.099976</v>
      </c>
      <c r="C234" s="4">
        <v>303.14999399999999</v>
      </c>
      <c r="D234" s="4">
        <v>375.29998799999998</v>
      </c>
      <c r="E234" s="4">
        <v>1526.6999510000001</v>
      </c>
      <c r="F234" s="4">
        <v>664</v>
      </c>
      <c r="G234" s="3">
        <f>IF('Value at Risk'!$C$5=0,'Market Data - EQ'!B234-'Market Data - EQ'!B235,IF('Value at Risk'!$C$6=0,('Market Data - EQ'!B234-'Market Data - EQ'!B235)/'Market Data - EQ'!B235,LN('Market Data - EQ'!B234/'Market Data - EQ'!B235)))</f>
        <v>-8.011452370575451E-4</v>
      </c>
      <c r="H234" s="3">
        <f>IF('Value at Risk'!$C$5=0,'Market Data - EQ'!C234-'Market Data - EQ'!C235,IF('Value at Risk'!$C$6=0,('Market Data - EQ'!C234-'Market Data - EQ'!C235)/'Market Data - EQ'!C235,LN('Market Data - EQ'!C234/'Market Data - EQ'!C235)))</f>
        <v>4.9726505215842969E-3</v>
      </c>
      <c r="I234" s="3">
        <f>IF('Value at Risk'!$C$5=0,'Market Data - EQ'!D234-'Market Data - EQ'!D235,IF('Value at Risk'!$C$6=0,('Market Data - EQ'!D234-'Market Data - EQ'!D235)/'Market Data - EQ'!D235,LN('Market Data - EQ'!D234/'Market Data - EQ'!D235)))</f>
        <v>6.8410140845070015E-3</v>
      </c>
      <c r="J234" s="3">
        <f>IF('Value at Risk'!$C$5=0,'Market Data - EQ'!E234-'Market Data - EQ'!E235,IF('Value at Risk'!$C$6=0,('Market Data - EQ'!E234-'Market Data - EQ'!E235)/'Market Data - EQ'!E235,LN('Market Data - EQ'!E234/'Market Data - EQ'!E235)))</f>
        <v>2.1067416420748664E-2</v>
      </c>
      <c r="K234" s="3">
        <f>IF('Value at Risk'!$C$5=0,'Market Data - EQ'!F234-'Market Data - EQ'!F235,IF('Value at Risk'!$C$6=0,('Market Data - EQ'!F234-'Market Data - EQ'!F235)/'Market Data - EQ'!F235,LN('Market Data - EQ'!F234/'Market Data - EQ'!F235)))</f>
        <v>5.1468727271041115E-3</v>
      </c>
      <c r="L234" s="8">
        <f t="shared" si="3"/>
        <v>7.4453617033773054E-3</v>
      </c>
    </row>
    <row r="235" spans="1:12" x14ac:dyDescent="0.25">
      <c r="A235" s="5">
        <v>43480</v>
      </c>
      <c r="B235" s="4">
        <v>1060.9499510000001</v>
      </c>
      <c r="C235" s="4">
        <v>301.64999399999999</v>
      </c>
      <c r="D235" s="4">
        <v>372.75</v>
      </c>
      <c r="E235" s="4">
        <v>1495.1999510000001</v>
      </c>
      <c r="F235" s="4">
        <v>660.59997599999997</v>
      </c>
      <c r="G235" s="3">
        <f>IF('Value at Risk'!$C$5=0,'Market Data - EQ'!B235-'Market Data - EQ'!B236,IF('Value at Risk'!$C$6=0,('Market Data - EQ'!B235-'Market Data - EQ'!B236)/'Market Data - EQ'!B236,LN('Market Data - EQ'!B235/'Market Data - EQ'!B236)))</f>
        <v>9.6400958494938793E-3</v>
      </c>
      <c r="H235" s="3">
        <f>IF('Value at Risk'!$C$5=0,'Market Data - EQ'!C235-'Market Data - EQ'!C236,IF('Value at Risk'!$C$6=0,('Market Data - EQ'!C235-'Market Data - EQ'!C236)/'Market Data - EQ'!C236,LN('Market Data - EQ'!C235/'Market Data - EQ'!C236)))</f>
        <v>4.1611185917666826E-3</v>
      </c>
      <c r="I235" s="3">
        <f>IF('Value at Risk'!$C$5=0,'Market Data - EQ'!D235-'Market Data - EQ'!D236,IF('Value at Risk'!$C$6=0,('Market Data - EQ'!D235-'Market Data - EQ'!D236)/'Market Data - EQ'!D236,LN('Market Data - EQ'!D235/'Market Data - EQ'!D236)))</f>
        <v>-1.6070871577808614E-3</v>
      </c>
      <c r="J235" s="3">
        <f>IF('Value at Risk'!$C$5=0,'Market Data - EQ'!E235-'Market Data - EQ'!E236,IF('Value at Risk'!$C$6=0,('Market Data - EQ'!E235-'Market Data - EQ'!E236)/'Market Data - EQ'!E236,LN('Market Data - EQ'!E235/'Market Data - EQ'!E236)))</f>
        <v>7.5131576644017293E-3</v>
      </c>
      <c r="K235" s="3">
        <f>IF('Value at Risk'!$C$5=0,'Market Data - EQ'!F235-'Market Data - EQ'!F236,IF('Value at Risk'!$C$6=0,('Market Data - EQ'!F235-'Market Data - EQ'!F236)/'Market Data - EQ'!F236,LN('Market Data - EQ'!F235/'Market Data - EQ'!F236)))</f>
        <v>2.1237317574562702E-3</v>
      </c>
      <c r="L235" s="8">
        <f t="shared" si="3"/>
        <v>4.3662033410675405E-3</v>
      </c>
    </row>
    <row r="236" spans="1:12" x14ac:dyDescent="0.25">
      <c r="A236" s="5">
        <v>43479</v>
      </c>
      <c r="B236" s="4">
        <v>1050.8199460000001</v>
      </c>
      <c r="C236" s="4">
        <v>300.39999399999999</v>
      </c>
      <c r="D236" s="4">
        <v>373.35000600000001</v>
      </c>
      <c r="E236" s="4">
        <v>1484.0500489999999</v>
      </c>
      <c r="F236" s="4">
        <v>659.20001200000002</v>
      </c>
      <c r="G236" s="3">
        <f>IF('Value at Risk'!$C$5=0,'Market Data - EQ'!B236-'Market Data - EQ'!B237,IF('Value at Risk'!$C$6=0,('Market Data - EQ'!B236-'Market Data - EQ'!B237)/'Market Data - EQ'!B237,LN('Market Data - EQ'!B236/'Market Data - EQ'!B237)))</f>
        <v>-4.8581895336438936E-3</v>
      </c>
      <c r="H236" s="3">
        <f>IF('Value at Risk'!$C$5=0,'Market Data - EQ'!C236-'Market Data - EQ'!C237,IF('Value at Risk'!$C$6=0,('Market Data - EQ'!C236-'Market Data - EQ'!C237)/'Market Data - EQ'!C237,LN('Market Data - EQ'!C236/'Market Data - EQ'!C237)))</f>
        <v>-7.762199834847259E-3</v>
      </c>
      <c r="I236" s="3">
        <f>IF('Value at Risk'!$C$5=0,'Market Data - EQ'!D236-'Market Data - EQ'!D237,IF('Value at Risk'!$C$6=0,('Market Data - EQ'!D236-'Market Data - EQ'!D237)/'Market Data - EQ'!D237,LN('Market Data - EQ'!D236/'Market Data - EQ'!D237)))</f>
        <v>-1.3736579487092672E-2</v>
      </c>
      <c r="J236" s="3">
        <f>IF('Value at Risk'!$C$5=0,'Market Data - EQ'!E236-'Market Data - EQ'!E237,IF('Value at Risk'!$C$6=0,('Market Data - EQ'!E236-'Market Data - EQ'!E237)/'Market Data - EQ'!E237,LN('Market Data - EQ'!E236/'Market Data - EQ'!E237)))</f>
        <v>-2.0526003700871858E-2</v>
      </c>
      <c r="K236" s="3">
        <f>IF('Value at Risk'!$C$5=0,'Market Data - EQ'!F236-'Market Data - EQ'!F237,IF('Value at Risk'!$C$6=0,('Market Data - EQ'!F236-'Market Data - EQ'!F237)/'Market Data - EQ'!F237,LN('Market Data - EQ'!F236/'Market Data - EQ'!F237)))</f>
        <v>-1.0952720180044988E-2</v>
      </c>
      <c r="L236" s="8">
        <f t="shared" si="3"/>
        <v>-1.1567138547300135E-2</v>
      </c>
    </row>
    <row r="237" spans="1:12" x14ac:dyDescent="0.25">
      <c r="A237" s="5">
        <v>43476</v>
      </c>
      <c r="B237" s="4">
        <v>1055.9499510000001</v>
      </c>
      <c r="C237" s="4">
        <v>302.75</v>
      </c>
      <c r="D237" s="4">
        <v>378.54998799999998</v>
      </c>
      <c r="E237" s="4">
        <v>1515.150024</v>
      </c>
      <c r="F237" s="4">
        <v>666.5</v>
      </c>
      <c r="G237" s="3">
        <f>IF('Value at Risk'!$C$5=0,'Market Data - EQ'!B237-'Market Data - EQ'!B238,IF('Value at Risk'!$C$6=0,('Market Data - EQ'!B237-'Market Data - EQ'!B238)/'Market Data - EQ'!B238,LN('Market Data - EQ'!B237/'Market Data - EQ'!B238)))</f>
        <v>1.6124742708086843E-3</v>
      </c>
      <c r="H237" s="3">
        <f>IF('Value at Risk'!$C$5=0,'Market Data - EQ'!C237-'Market Data - EQ'!C238,IF('Value at Risk'!$C$6=0,('Market Data - EQ'!C237-'Market Data - EQ'!C238)/'Market Data - EQ'!C238,LN('Market Data - EQ'!C237/'Market Data - EQ'!C238)))</f>
        <v>-9.1637640646871337E-3</v>
      </c>
      <c r="I237" s="3">
        <f>IF('Value at Risk'!$C$5=0,'Market Data - EQ'!D237-'Market Data - EQ'!D238,IF('Value at Risk'!$C$6=0,('Market Data - EQ'!D237-'Market Data - EQ'!D238)/'Market Data - EQ'!D238,LN('Market Data - EQ'!D237/'Market Data - EQ'!D238)))</f>
        <v>-2.5033254281950335E-3</v>
      </c>
      <c r="J237" s="3">
        <f>IF('Value at Risk'!$C$5=0,'Market Data - EQ'!E237-'Market Data - EQ'!E238,IF('Value at Risk'!$C$6=0,('Market Data - EQ'!E237-'Market Data - EQ'!E238)/'Market Data - EQ'!E238,LN('Market Data - EQ'!E237/'Market Data - EQ'!E238)))</f>
        <v>-3.2409476481366987E-2</v>
      </c>
      <c r="K237" s="3">
        <f>IF('Value at Risk'!$C$5=0,'Market Data - EQ'!F237-'Market Data - EQ'!F238,IF('Value at Risk'!$C$6=0,('Market Data - EQ'!F237-'Market Data - EQ'!F238)/'Market Data - EQ'!F238,LN('Market Data - EQ'!F237/'Market Data - EQ'!F238)))</f>
        <v>4.9001130795326047E-3</v>
      </c>
      <c r="L237" s="8">
        <f t="shared" si="3"/>
        <v>-7.5127957247815725E-3</v>
      </c>
    </row>
    <row r="238" spans="1:12" x14ac:dyDescent="0.25">
      <c r="A238" s="5">
        <v>43475</v>
      </c>
      <c r="B238" s="4">
        <v>1054.25</v>
      </c>
      <c r="C238" s="4">
        <v>305.54998799999998</v>
      </c>
      <c r="D238" s="4">
        <v>379.5</v>
      </c>
      <c r="E238" s="4">
        <v>1565.900024</v>
      </c>
      <c r="F238" s="4">
        <v>663.25</v>
      </c>
      <c r="G238" s="3">
        <f>IF('Value at Risk'!$C$5=0,'Market Data - EQ'!B238-'Market Data - EQ'!B239,IF('Value at Risk'!$C$6=0,('Market Data - EQ'!B238-'Market Data - EQ'!B239)/'Market Data - EQ'!B239,LN('Market Data - EQ'!B238/'Market Data - EQ'!B239)))</f>
        <v>-3.9210354364089001E-3</v>
      </c>
      <c r="H238" s="3">
        <f>IF('Value at Risk'!$C$5=0,'Market Data - EQ'!C238-'Market Data - EQ'!C239,IF('Value at Risk'!$C$6=0,('Market Data - EQ'!C238-'Market Data - EQ'!C239)/'Market Data - EQ'!C239,LN('Market Data - EQ'!C238/'Market Data - EQ'!C239)))</f>
        <v>8.1886672068916038E-4</v>
      </c>
      <c r="I238" s="3">
        <f>IF('Value at Risk'!$C$5=0,'Market Data - EQ'!D238-'Market Data - EQ'!D239,IF('Value at Risk'!$C$6=0,('Market Data - EQ'!D238-'Market Data - EQ'!D239)/'Market Data - EQ'!D239,LN('Market Data - EQ'!D238/'Market Data - EQ'!D239)))</f>
        <v>-7.1942446043165471E-3</v>
      </c>
      <c r="J238" s="3">
        <f>IF('Value at Risk'!$C$5=0,'Market Data - EQ'!E238-'Market Data - EQ'!E239,IF('Value at Risk'!$C$6=0,('Market Data - EQ'!E238-'Market Data - EQ'!E239)/'Market Data - EQ'!E239,LN('Market Data - EQ'!E238/'Market Data - EQ'!E239)))</f>
        <v>-2.2381754955517384E-2</v>
      </c>
      <c r="K238" s="3">
        <f>IF('Value at Risk'!$C$5=0,'Market Data - EQ'!F238-'Market Data - EQ'!F239,IF('Value at Risk'!$C$6=0,('Market Data - EQ'!F238-'Market Data - EQ'!F239)/'Market Data - EQ'!F239,LN('Market Data - EQ'!F238/'Market Data - EQ'!F239)))</f>
        <v>-1.0222319422975133E-2</v>
      </c>
      <c r="L238" s="8">
        <f t="shared" si="3"/>
        <v>-8.5800975397057611E-3</v>
      </c>
    </row>
    <row r="239" spans="1:12" x14ac:dyDescent="0.25">
      <c r="A239" s="5">
        <v>43474</v>
      </c>
      <c r="B239" s="4">
        <v>1058.400024</v>
      </c>
      <c r="C239" s="4">
        <v>305.29998799999998</v>
      </c>
      <c r="D239" s="4">
        <v>382.25</v>
      </c>
      <c r="E239" s="4">
        <v>1601.75</v>
      </c>
      <c r="F239" s="4">
        <v>670.09997599999997</v>
      </c>
      <c r="G239" s="3">
        <f>IF('Value at Risk'!$C$5=0,'Market Data - EQ'!B239-'Market Data - EQ'!B240,IF('Value at Risk'!$C$6=0,('Market Data - EQ'!B239-'Market Data - EQ'!B240)/'Market Data - EQ'!B240,LN('Market Data - EQ'!B239/'Market Data - EQ'!B240)))</f>
        <v>6.5620770328103E-3</v>
      </c>
      <c r="H239" s="3">
        <f>IF('Value at Risk'!$C$5=0,'Market Data - EQ'!C239-'Market Data - EQ'!C240,IF('Value at Risk'!$C$6=0,('Market Data - EQ'!C239-'Market Data - EQ'!C240)/'Market Data - EQ'!C240,LN('Market Data - EQ'!C239/'Market Data - EQ'!C240)))</f>
        <v>0</v>
      </c>
      <c r="I239" s="3">
        <f>IF('Value at Risk'!$C$5=0,'Market Data - EQ'!D239-'Market Data - EQ'!D240,IF('Value at Risk'!$C$6=0,('Market Data - EQ'!D239-'Market Data - EQ'!D240)/'Market Data - EQ'!D240,LN('Market Data - EQ'!D239/'Market Data - EQ'!D240)))</f>
        <v>5.5241510802181088E-3</v>
      </c>
      <c r="J239" s="3">
        <f>IF('Value at Risk'!$C$5=0,'Market Data - EQ'!E239-'Market Data - EQ'!E240,IF('Value at Risk'!$C$6=0,('Market Data - EQ'!E239-'Market Data - EQ'!E240)/'Market Data - EQ'!E240,LN('Market Data - EQ'!E239/'Market Data - EQ'!E240)))</f>
        <v>1.5211535414355886E-2</v>
      </c>
      <c r="K239" s="3">
        <f>IF('Value at Risk'!$C$5=0,'Market Data - EQ'!F239-'Market Data - EQ'!F240,IF('Value at Risk'!$C$6=0,('Market Data - EQ'!F239-'Market Data - EQ'!F240)/'Market Data - EQ'!F240,LN('Market Data - EQ'!F239/'Market Data - EQ'!F240)))</f>
        <v>2.9497543850144241E-2</v>
      </c>
      <c r="L239" s="8">
        <f t="shared" si="3"/>
        <v>1.1359061475505708E-2</v>
      </c>
    </row>
    <row r="240" spans="1:12" x14ac:dyDescent="0.25">
      <c r="A240" s="5">
        <v>43473</v>
      </c>
      <c r="B240" s="4">
        <v>1051.5</v>
      </c>
      <c r="C240" s="4">
        <v>305.29998799999998</v>
      </c>
      <c r="D240" s="4">
        <v>380.14999399999999</v>
      </c>
      <c r="E240" s="4">
        <v>1577.75</v>
      </c>
      <c r="F240" s="4">
        <v>650.90002400000003</v>
      </c>
      <c r="G240" s="3">
        <f>IF('Value at Risk'!$C$5=0,'Market Data - EQ'!B240-'Market Data - EQ'!B241,IF('Value at Risk'!$C$6=0,('Market Data - EQ'!B240-'Market Data - EQ'!B241)/'Market Data - EQ'!B241,LN('Market Data - EQ'!B240/'Market Data - EQ'!B241)))</f>
        <v>-8.3181930447247029E-3</v>
      </c>
      <c r="H240" s="3">
        <f>IF('Value at Risk'!$C$5=0,'Market Data - EQ'!C240-'Market Data - EQ'!C241,IF('Value at Risk'!$C$6=0,('Market Data - EQ'!C240-'Market Data - EQ'!C241)/'Market Data - EQ'!C241,LN('Market Data - EQ'!C240/'Market Data - EQ'!C241)))</f>
        <v>3.0374621547402832E-2</v>
      </c>
      <c r="I240" s="3">
        <f>IF('Value at Risk'!$C$5=0,'Market Data - EQ'!D240-'Market Data - EQ'!D241,IF('Value at Risk'!$C$6=0,('Market Data - EQ'!D240-'Market Data - EQ'!D241)/'Market Data - EQ'!D241,LN('Market Data - EQ'!D240/'Market Data - EQ'!D241)))</f>
        <v>3.3859074228150897E-2</v>
      </c>
      <c r="J240" s="3">
        <f>IF('Value at Risk'!$C$5=0,'Market Data - EQ'!E240-'Market Data - EQ'!E241,IF('Value at Risk'!$C$6=0,('Market Data - EQ'!E240-'Market Data - EQ'!E241)/'Market Data - EQ'!E241,LN('Market Data - EQ'!E240/'Market Data - EQ'!E241)))</f>
        <v>1.1929561436481733E-2</v>
      </c>
      <c r="K240" s="3">
        <f>IF('Value at Risk'!$C$5=0,'Market Data - EQ'!F240-'Market Data - EQ'!F241,IF('Value at Risk'!$C$6=0,('Market Data - EQ'!F240-'Market Data - EQ'!F241)/'Market Data - EQ'!F241,LN('Market Data - EQ'!F240/'Market Data - EQ'!F241)))</f>
        <v>2.1099712521458099E-2</v>
      </c>
      <c r="L240" s="8">
        <f t="shared" si="3"/>
        <v>1.7788955337753772E-2</v>
      </c>
    </row>
    <row r="241" spans="1:12" x14ac:dyDescent="0.25">
      <c r="A241" s="5">
        <v>43472</v>
      </c>
      <c r="B241" s="4">
        <v>1060.3199460000001</v>
      </c>
      <c r="C241" s="4">
        <v>296.29998799999998</v>
      </c>
      <c r="D241" s="4">
        <v>367.70001200000002</v>
      </c>
      <c r="E241" s="4">
        <v>1559.150024</v>
      </c>
      <c r="F241" s="4">
        <v>637.45001200000002</v>
      </c>
      <c r="G241" s="3">
        <f>IF('Value at Risk'!$C$5=0,'Market Data - EQ'!B241-'Market Data - EQ'!B242,IF('Value at Risk'!$C$6=0,('Market Data - EQ'!B241-'Market Data - EQ'!B242)/'Market Data - EQ'!B242,LN('Market Data - EQ'!B241/'Market Data - EQ'!B242)))</f>
        <v>1.5112353066211177E-3</v>
      </c>
      <c r="H241" s="3">
        <f>IF('Value at Risk'!$C$5=0,'Market Data - EQ'!C241-'Market Data - EQ'!C242,IF('Value at Risk'!$C$6=0,('Market Data - EQ'!C241-'Market Data - EQ'!C242)/'Market Data - EQ'!C242,LN('Market Data - EQ'!C241/'Market Data - EQ'!C242)))</f>
        <v>-4.535548554387028E-3</v>
      </c>
      <c r="I241" s="3">
        <f>IF('Value at Risk'!$C$5=0,'Market Data - EQ'!D241-'Market Data - EQ'!D242,IF('Value at Risk'!$C$6=0,('Market Data - EQ'!D241-'Market Data - EQ'!D242)/'Market Data - EQ'!D242,LN('Market Data - EQ'!D241/'Market Data - EQ'!D242)))</f>
        <v>6.8455638495433565E-3</v>
      </c>
      <c r="J241" s="3">
        <f>IF('Value at Risk'!$C$5=0,'Market Data - EQ'!E241-'Market Data - EQ'!E242,IF('Value at Risk'!$C$6=0,('Market Data - EQ'!E241-'Market Data - EQ'!E242)/'Market Data - EQ'!E242,LN('Market Data - EQ'!E241/'Market Data - EQ'!E242)))</f>
        <v>7.0727769968776952E-3</v>
      </c>
      <c r="K241" s="3">
        <f>IF('Value at Risk'!$C$5=0,'Market Data - EQ'!F241-'Market Data - EQ'!F242,IF('Value at Risk'!$C$6=0,('Market Data - EQ'!F241-'Market Data - EQ'!F242)/'Market Data - EQ'!F242,LN('Market Data - EQ'!F241/'Market Data - EQ'!F242)))</f>
        <v>2.880896819143848E-2</v>
      </c>
      <c r="L241" s="8">
        <f t="shared" si="3"/>
        <v>7.9405991580187244E-3</v>
      </c>
    </row>
    <row r="242" spans="1:12" x14ac:dyDescent="0.25">
      <c r="A242" s="5">
        <v>43469</v>
      </c>
      <c r="B242" s="4">
        <v>1058.719971</v>
      </c>
      <c r="C242" s="4">
        <v>297.64999399999999</v>
      </c>
      <c r="D242" s="4">
        <v>365.20001200000002</v>
      </c>
      <c r="E242" s="4">
        <v>1548.1999510000001</v>
      </c>
      <c r="F242" s="4">
        <v>619.59997599999997</v>
      </c>
      <c r="G242" s="3">
        <f>IF('Value at Risk'!$C$5=0,'Market Data - EQ'!B242-'Market Data - EQ'!B243,IF('Value at Risk'!$C$6=0,('Market Data - EQ'!B242-'Market Data - EQ'!B243)/'Market Data - EQ'!B243,LN('Market Data - EQ'!B242/'Market Data - EQ'!B243)))</f>
        <v>2.6706571985076082E-3</v>
      </c>
      <c r="H242" s="3">
        <f>IF('Value at Risk'!$C$5=0,'Market Data - EQ'!C242-'Market Data - EQ'!C243,IF('Value at Risk'!$C$6=0,('Market Data - EQ'!C242-'Market Data - EQ'!C243)/'Market Data - EQ'!C243,LN('Market Data - EQ'!C242/'Market Data - EQ'!C243)))</f>
        <v>2.2500817124682521E-2</v>
      </c>
      <c r="I242" s="3">
        <f>IF('Value at Risk'!$C$5=0,'Market Data - EQ'!D242-'Market Data - EQ'!D243,IF('Value at Risk'!$C$6=0,('Market Data - EQ'!D242-'Market Data - EQ'!D243)/'Market Data - EQ'!D243,LN('Market Data - EQ'!D242/'Market Data - EQ'!D243)))</f>
        <v>5.3682367515485623E-3</v>
      </c>
      <c r="J242" s="3">
        <f>IF('Value at Risk'!$C$5=0,'Market Data - EQ'!E242-'Market Data - EQ'!E243,IF('Value at Risk'!$C$6=0,('Market Data - EQ'!E242-'Market Data - EQ'!E243)/'Market Data - EQ'!E243,LN('Market Data - EQ'!E242/'Market Data - EQ'!E243)))</f>
        <v>-7.6277323139962118E-3</v>
      </c>
      <c r="K242" s="3">
        <f>IF('Value at Risk'!$C$5=0,'Market Data - EQ'!F242-'Market Data - EQ'!F243,IF('Value at Risk'!$C$6=0,('Market Data - EQ'!F242-'Market Data - EQ'!F243)/'Market Data - EQ'!F243,LN('Market Data - EQ'!F242/'Market Data - EQ'!F243)))</f>
        <v>1.9162700501764204E-2</v>
      </c>
      <c r="L242" s="8">
        <f t="shared" si="3"/>
        <v>8.414935852501337E-3</v>
      </c>
    </row>
    <row r="243" spans="1:12" x14ac:dyDescent="0.25">
      <c r="A243" s="5">
        <v>43468</v>
      </c>
      <c r="B243" s="4">
        <v>1055.900024</v>
      </c>
      <c r="C243" s="4">
        <v>291.10000600000001</v>
      </c>
      <c r="D243" s="4">
        <v>363.25</v>
      </c>
      <c r="E243" s="4">
        <v>1560.099976</v>
      </c>
      <c r="F243" s="4">
        <v>607.95001200000002</v>
      </c>
      <c r="G243" s="3">
        <f>IF('Value at Risk'!$C$5=0,'Market Data - EQ'!B243-'Market Data - EQ'!B244,IF('Value at Risk'!$C$6=0,('Market Data - EQ'!B243-'Market Data - EQ'!B244)/'Market Data - EQ'!B244,LN('Market Data - EQ'!B243/'Market Data - EQ'!B244)))</f>
        <v>-7.8458783180643359E-3</v>
      </c>
      <c r="H243" s="3">
        <f>IF('Value at Risk'!$C$5=0,'Market Data - EQ'!C243-'Market Data - EQ'!C244,IF('Value at Risk'!$C$6=0,('Market Data - EQ'!C243-'Market Data - EQ'!C244)/'Market Data - EQ'!C244,LN('Market Data - EQ'!C243/'Market Data - EQ'!C244)))</f>
        <v>-9.5270093812930973E-3</v>
      </c>
      <c r="I243" s="3">
        <f>IF('Value at Risk'!$C$5=0,'Market Data - EQ'!D243-'Market Data - EQ'!D244,IF('Value at Risk'!$C$6=0,('Market Data - EQ'!D243-'Market Data - EQ'!D244)/'Market Data - EQ'!D244,LN('Market Data - EQ'!D243/'Market Data - EQ'!D244)))</f>
        <v>-3.7027042725830553E-3</v>
      </c>
      <c r="J243" s="3">
        <f>IF('Value at Risk'!$C$5=0,'Market Data - EQ'!E243-'Market Data - EQ'!E244,IF('Value at Risk'!$C$6=0,('Market Data - EQ'!E243-'Market Data - EQ'!E244)/'Market Data - EQ'!E244,LN('Market Data - EQ'!E243/'Market Data - EQ'!E244)))</f>
        <v>-1.0465558956725496E-2</v>
      </c>
      <c r="K243" s="3">
        <f>IF('Value at Risk'!$C$5=0,'Market Data - EQ'!F243-'Market Data - EQ'!F244,IF('Value at Risk'!$C$6=0,('Market Data - EQ'!F243-'Market Data - EQ'!F244)/'Market Data - EQ'!F244,LN('Market Data - EQ'!F243/'Market Data - EQ'!F244)))</f>
        <v>-1.9514516948914078E-2</v>
      </c>
      <c r="L243" s="8">
        <f t="shared" si="3"/>
        <v>-1.0211133575516012E-2</v>
      </c>
    </row>
    <row r="244" spans="1:12" x14ac:dyDescent="0.25">
      <c r="A244" s="5">
        <v>43467</v>
      </c>
      <c r="B244" s="4">
        <v>1064.25</v>
      </c>
      <c r="C244" s="4">
        <v>293.89999399999999</v>
      </c>
      <c r="D244" s="4">
        <v>364.60000600000001</v>
      </c>
      <c r="E244" s="4">
        <v>1576.599976</v>
      </c>
      <c r="F244" s="4">
        <v>620.04998799999998</v>
      </c>
      <c r="G244" s="3">
        <f>IF('Value at Risk'!$C$5=0,'Market Data - EQ'!B244-'Market Data - EQ'!B245,IF('Value at Risk'!$C$6=0,('Market Data - EQ'!B244-'Market Data - EQ'!B245)/'Market Data - EQ'!B245,LN('Market Data - EQ'!B244/'Market Data - EQ'!B245)))</f>
        <v>-9.1243876476001587E-3</v>
      </c>
      <c r="H244" s="3">
        <f>IF('Value at Risk'!$C$5=0,'Market Data - EQ'!C244-'Market Data - EQ'!C245,IF('Value at Risk'!$C$6=0,('Market Data - EQ'!C244-'Market Data - EQ'!C245)/'Market Data - EQ'!C245,LN('Market Data - EQ'!C244/'Market Data - EQ'!C245)))</f>
        <v>-1.902540682859671E-2</v>
      </c>
      <c r="I244" s="3">
        <f>IF('Value at Risk'!$C$5=0,'Market Data - EQ'!D244-'Market Data - EQ'!D245,IF('Value at Risk'!$C$6=0,('Market Data - EQ'!D244-'Market Data - EQ'!D245)/'Market Data - EQ'!D245,LN('Market Data - EQ'!D244/'Market Data - EQ'!D245)))</f>
        <v>2.3367862542955533E-3</v>
      </c>
      <c r="J244" s="3">
        <f>IF('Value at Risk'!$C$5=0,'Market Data - EQ'!E244-'Market Data - EQ'!E245,IF('Value at Risk'!$C$6=0,('Market Data - EQ'!E244-'Market Data - EQ'!E245)/'Market Data - EQ'!E245,LN('Market Data - EQ'!E244/'Market Data - EQ'!E245)))</f>
        <v>-1.1907746481440157E-2</v>
      </c>
      <c r="K244" s="3">
        <f>IF('Value at Risk'!$C$5=0,'Market Data - EQ'!F244-'Market Data - EQ'!F245,IF('Value at Risk'!$C$6=0,('Market Data - EQ'!F244-'Market Data - EQ'!F245)/'Market Data - EQ'!F245,LN('Market Data - EQ'!F244/'Market Data - EQ'!F245)))</f>
        <v>-1.155746873695142E-2</v>
      </c>
      <c r="L244" s="8">
        <f t="shared" si="3"/>
        <v>-9.8556446880585773E-3</v>
      </c>
    </row>
    <row r="245" spans="1:12" x14ac:dyDescent="0.25">
      <c r="A245" s="5">
        <v>43466</v>
      </c>
      <c r="B245" s="4">
        <v>1074.0500489999999</v>
      </c>
      <c r="C245" s="4">
        <v>299.60000600000001</v>
      </c>
      <c r="D245" s="4">
        <v>363.75</v>
      </c>
      <c r="E245" s="4">
        <v>1595.599976</v>
      </c>
      <c r="F245" s="4">
        <v>627.29998799999998</v>
      </c>
      <c r="G245" s="3">
        <f>IF('Value at Risk'!$C$5=0,'Market Data - EQ'!B245-'Market Data - EQ'!B246,IF('Value at Risk'!$C$6=0,('Market Data - EQ'!B245-'Market Data - EQ'!B246)/'Market Data - EQ'!B246,LN('Market Data - EQ'!B245/'Market Data - EQ'!B246)))</f>
        <v>1.2442921523900733E-2</v>
      </c>
      <c r="H245" s="3">
        <f>IF('Value at Risk'!$C$5=0,'Market Data - EQ'!C245-'Market Data - EQ'!C246,IF('Value at Risk'!$C$6=0,('Market Data - EQ'!C245-'Market Data - EQ'!C246)/'Market Data - EQ'!C246,LN('Market Data - EQ'!C245/'Market Data - EQ'!C246)))</f>
        <v>1.2504265207927025E-2</v>
      </c>
      <c r="I245" s="3">
        <f>IF('Value at Risk'!$C$5=0,'Market Data - EQ'!D245-'Market Data - EQ'!D246,IF('Value at Risk'!$C$6=0,('Market Data - EQ'!D245-'Market Data - EQ'!D246)/'Market Data - EQ'!D246,LN('Market Data - EQ'!D245/'Market Data - EQ'!D246)))</f>
        <v>9.9958518949746465E-3</v>
      </c>
      <c r="J245" s="3">
        <f>IF('Value at Risk'!$C$5=0,'Market Data - EQ'!E245-'Market Data - EQ'!E246,IF('Value at Risk'!$C$6=0,('Market Data - EQ'!E245-'Market Data - EQ'!E246)/'Market Data - EQ'!E246,LN('Market Data - EQ'!E245/'Market Data - EQ'!E246)))</f>
        <v>-2.3135577356566284E-3</v>
      </c>
      <c r="K245" s="3">
        <f>IF('Value at Risk'!$C$5=0,'Market Data - EQ'!F245-'Market Data - EQ'!F246,IF('Value at Risk'!$C$6=0,('Market Data - EQ'!F245-'Market Data - EQ'!F246)/'Market Data - EQ'!F246,LN('Market Data - EQ'!F245/'Market Data - EQ'!F246)))</f>
        <v>1.1937350723509496E-2</v>
      </c>
      <c r="L245" s="8">
        <f t="shared" si="3"/>
        <v>8.9133663229310541E-3</v>
      </c>
    </row>
    <row r="246" spans="1:12" x14ac:dyDescent="0.25">
      <c r="A246" s="5">
        <v>43465</v>
      </c>
      <c r="B246" s="4">
        <v>1060.849976</v>
      </c>
      <c r="C246" s="4">
        <v>295.89999399999999</v>
      </c>
      <c r="D246" s="4">
        <v>360.14999399999999</v>
      </c>
      <c r="E246" s="4">
        <v>1599.3000489999999</v>
      </c>
      <c r="F246" s="4">
        <v>619.90002400000003</v>
      </c>
      <c r="G246" s="3">
        <f>IF('Value at Risk'!$C$5=0,'Market Data - EQ'!B246-'Market Data - EQ'!B247,IF('Value at Risk'!$C$6=0,('Market Data - EQ'!B246-'Market Data - EQ'!B247)/'Market Data - EQ'!B247,LN('Market Data - EQ'!B246/'Market Data - EQ'!B247)))</f>
        <v>-5.6524097008516026E-4</v>
      </c>
      <c r="H246" s="3">
        <f>IF('Value at Risk'!$C$5=0,'Market Data - EQ'!C246-'Market Data - EQ'!C247,IF('Value at Risk'!$C$6=0,('Market Data - EQ'!C246-'Market Data - EQ'!C247)/'Market Data - EQ'!C247,LN('Market Data - EQ'!C246/'Market Data - EQ'!C247)))</f>
        <v>3.7313637882509265E-3</v>
      </c>
      <c r="I246" s="3">
        <f>IF('Value at Risk'!$C$5=0,'Market Data - EQ'!D246-'Market Data - EQ'!D247,IF('Value at Risk'!$C$6=0,('Market Data - EQ'!D246-'Market Data - EQ'!D247)/'Market Data - EQ'!D247,LN('Market Data - EQ'!D246/'Market Data - EQ'!D247)))</f>
        <v>-1.6632182952183163E-3</v>
      </c>
      <c r="J246" s="3">
        <f>IF('Value at Risk'!$C$5=0,'Market Data - EQ'!E246-'Market Data - EQ'!E247,IF('Value at Risk'!$C$6=0,('Market Data - EQ'!E246-'Market Data - EQ'!E247)/'Market Data - EQ'!E247,LN('Market Data - EQ'!E246/'Market Data - EQ'!E247)))</f>
        <v>1.0137406600347352E-2</v>
      </c>
      <c r="K246" s="3">
        <f>IF('Value at Risk'!$C$5=0,'Market Data - EQ'!F246-'Market Data - EQ'!F247,IF('Value at Risk'!$C$6=0,('Market Data - EQ'!F246-'Market Data - EQ'!F247)/'Market Data - EQ'!F247,LN('Market Data - EQ'!F246/'Market Data - EQ'!F247)))</f>
        <v>-8.2392834155209267E-3</v>
      </c>
      <c r="L246" s="8">
        <f t="shared" si="3"/>
        <v>6.8020554155477501E-4</v>
      </c>
    </row>
    <row r="247" spans="1:12" x14ac:dyDescent="0.25">
      <c r="A247" s="5">
        <v>43462</v>
      </c>
      <c r="B247" s="4">
        <v>1061.4499510000001</v>
      </c>
      <c r="C247" s="4">
        <v>294.79998799999998</v>
      </c>
      <c r="D247" s="4">
        <v>360.75</v>
      </c>
      <c r="E247" s="4">
        <v>1583.25</v>
      </c>
      <c r="F247" s="4">
        <v>625.04998799999998</v>
      </c>
      <c r="G247" s="3">
        <f>IF('Value at Risk'!$C$5=0,'Market Data - EQ'!B247-'Market Data - EQ'!B248,IF('Value at Risk'!$C$6=0,('Market Data - EQ'!B247-'Market Data - EQ'!B248)/'Market Data - EQ'!B248,LN('Market Data - EQ'!B247/'Market Data - EQ'!B248)))</f>
        <v>8.4747434792666072E-3</v>
      </c>
      <c r="H247" s="3">
        <f>IF('Value at Risk'!$C$5=0,'Market Data - EQ'!C247-'Market Data - EQ'!C248,IF('Value at Risk'!$C$6=0,('Market Data - EQ'!C247-'Market Data - EQ'!C248)/'Market Data - EQ'!C248,LN('Market Data - EQ'!C247/'Market Data - EQ'!C248)))</f>
        <v>9.0706625172821079E-3</v>
      </c>
      <c r="I247" s="3">
        <f>IF('Value at Risk'!$C$5=0,'Market Data - EQ'!D247-'Market Data - EQ'!D248,IF('Value at Risk'!$C$6=0,('Market Data - EQ'!D247-'Market Data - EQ'!D248)/'Market Data - EQ'!D248,LN('Market Data - EQ'!D247/'Market Data - EQ'!D248)))</f>
        <v>1.4339958065625632E-2</v>
      </c>
      <c r="J247" s="3">
        <f>IF('Value at Risk'!$C$5=0,'Market Data - EQ'!E247-'Market Data - EQ'!E248,IF('Value at Risk'!$C$6=0,('Market Data - EQ'!E247-'Market Data - EQ'!E248)/'Market Data - EQ'!E248,LN('Market Data - EQ'!E247/'Market Data - EQ'!E248)))</f>
        <v>1.2308184143222507E-2</v>
      </c>
      <c r="K247" s="3">
        <f>IF('Value at Risk'!$C$5=0,'Market Data - EQ'!F247-'Market Data - EQ'!F248,IF('Value at Risk'!$C$6=0,('Market Data - EQ'!F247-'Market Data - EQ'!F248)/'Market Data - EQ'!F248,LN('Market Data - EQ'!F247/'Market Data - EQ'!F248)))</f>
        <v>1.2144765842016339E-2</v>
      </c>
      <c r="L247" s="8">
        <f t="shared" si="3"/>
        <v>1.1267662809482638E-2</v>
      </c>
    </row>
    <row r="248" spans="1:12" x14ac:dyDescent="0.25">
      <c r="A248" s="5">
        <v>43461</v>
      </c>
      <c r="B248" s="4">
        <v>1052.530029</v>
      </c>
      <c r="C248" s="4">
        <v>292.14999399999999</v>
      </c>
      <c r="D248" s="4">
        <v>355.64999399999999</v>
      </c>
      <c r="E248" s="4">
        <v>1564</v>
      </c>
      <c r="F248" s="4">
        <v>617.54998799999998</v>
      </c>
      <c r="G248" s="3">
        <f>IF('Value at Risk'!$C$5=0,'Market Data - EQ'!B248-'Market Data - EQ'!B249,IF('Value at Risk'!$C$6=0,('Market Data - EQ'!B248-'Market Data - EQ'!B249)/'Market Data - EQ'!B249,LN('Market Data - EQ'!B248/'Market Data - EQ'!B249)))</f>
        <v>-8.1513264100607705E-3</v>
      </c>
      <c r="H248" s="3">
        <f>IF('Value at Risk'!$C$5=0,'Market Data - EQ'!C248-'Market Data - EQ'!C249,IF('Value at Risk'!$C$6=0,('Market Data - EQ'!C248-'Market Data - EQ'!C249)/'Market Data - EQ'!C249,LN('Market Data - EQ'!C248/'Market Data - EQ'!C249)))</f>
        <v>-6.7992522209604396E-3</v>
      </c>
      <c r="I248" s="3">
        <f>IF('Value at Risk'!$C$5=0,'Market Data - EQ'!D248-'Market Data - EQ'!D249,IF('Value at Risk'!$C$6=0,('Market Data - EQ'!D248-'Market Data - EQ'!D249)/'Market Data - EQ'!D249,LN('Market Data - EQ'!D248/'Market Data - EQ'!D249)))</f>
        <v>-5.6206827772265139E-4</v>
      </c>
      <c r="J248" s="3">
        <f>IF('Value at Risk'!$C$5=0,'Market Data - EQ'!E248-'Market Data - EQ'!E249,IF('Value at Risk'!$C$6=0,('Market Data - EQ'!E248-'Market Data - EQ'!E249)/'Market Data - EQ'!E249,LN('Market Data - EQ'!E248/'Market Data - EQ'!E249)))</f>
        <v>4.850813863400574E-3</v>
      </c>
      <c r="K248" s="3">
        <f>IF('Value at Risk'!$C$5=0,'Market Data - EQ'!F248-'Market Data - EQ'!F249,IF('Value at Risk'!$C$6=0,('Market Data - EQ'!F248-'Market Data - EQ'!F249)/'Market Data - EQ'!F249,LN('Market Data - EQ'!F248/'Market Data - EQ'!F249)))</f>
        <v>-3.1477191283293222E-3</v>
      </c>
      <c r="L248" s="8">
        <f t="shared" si="3"/>
        <v>-2.7619104347345221E-3</v>
      </c>
    </row>
    <row r="249" spans="1:12" x14ac:dyDescent="0.25">
      <c r="A249" s="5">
        <v>43460</v>
      </c>
      <c r="B249" s="4">
        <v>1061.1800539999999</v>
      </c>
      <c r="C249" s="4">
        <v>294.14999399999999</v>
      </c>
      <c r="D249" s="4">
        <v>355.85000600000001</v>
      </c>
      <c r="E249" s="4">
        <v>1556.4499510000001</v>
      </c>
      <c r="F249" s="4">
        <v>619.5</v>
      </c>
      <c r="G249" s="3">
        <f>IF('Value at Risk'!$C$5=0,'Market Data - EQ'!B249-'Market Data - EQ'!B250,IF('Value at Risk'!$C$6=0,('Market Data - EQ'!B249-'Market Data - EQ'!B250)/'Market Data - EQ'!B250,LN('Market Data - EQ'!B249/'Market Data - EQ'!B250)))</f>
        <v>2.0051627463460991E-2</v>
      </c>
      <c r="H249" s="3">
        <f>IF('Value at Risk'!$C$5=0,'Market Data - EQ'!C249-'Market Data - EQ'!C250,IF('Value at Risk'!$C$6=0,('Market Data - EQ'!C249-'Market Data - EQ'!C250)/'Market Data - EQ'!C250,LN('Market Data - EQ'!C249/'Market Data - EQ'!C250)))</f>
        <v>3.7536462891785125E-3</v>
      </c>
      <c r="I249" s="3">
        <f>IF('Value at Risk'!$C$5=0,'Market Data - EQ'!D249-'Market Data - EQ'!D250,IF('Value at Risk'!$C$6=0,('Market Data - EQ'!D249-'Market Data - EQ'!D250)/'Market Data - EQ'!D250,LN('Market Data - EQ'!D249/'Market Data - EQ'!D250)))</f>
        <v>8.7881105598866267E-3</v>
      </c>
      <c r="J249" s="3">
        <f>IF('Value at Risk'!$C$5=0,'Market Data - EQ'!E249-'Market Data - EQ'!E250,IF('Value at Risk'!$C$6=0,('Market Data - EQ'!E249-'Market Data - EQ'!E250)/'Market Data - EQ'!E250,LN('Market Data - EQ'!E249/'Market Data - EQ'!E250)))</f>
        <v>-3.7763785903497937E-3</v>
      </c>
      <c r="K249" s="3">
        <f>IF('Value at Risk'!$C$5=0,'Market Data - EQ'!F249-'Market Data - EQ'!F250,IF('Value at Risk'!$C$6=0,('Market Data - EQ'!F249-'Market Data - EQ'!F250)/'Market Data - EQ'!F250,LN('Market Data - EQ'!F249/'Market Data - EQ'!F250)))</f>
        <v>7.3170731707317077E-3</v>
      </c>
      <c r="L249" s="8">
        <f t="shared" si="3"/>
        <v>7.2268157785816091E-3</v>
      </c>
    </row>
    <row r="250" spans="1:12" x14ac:dyDescent="0.25">
      <c r="A250" s="5">
        <v>43458</v>
      </c>
      <c r="B250" s="4">
        <v>1040.3199460000001</v>
      </c>
      <c r="C250" s="4">
        <v>293.04998799999998</v>
      </c>
      <c r="D250" s="4">
        <v>352.75</v>
      </c>
      <c r="E250" s="4">
        <v>1562.349976</v>
      </c>
      <c r="F250" s="4">
        <v>615</v>
      </c>
      <c r="G250" s="3">
        <f>IF('Value at Risk'!$C$5=0,'Market Data - EQ'!B250-'Market Data - EQ'!B251,IF('Value at Risk'!$C$6=0,('Market Data - EQ'!B250-'Market Data - EQ'!B251)/'Market Data - EQ'!B251,LN('Market Data - EQ'!B250/'Market Data - EQ'!B251)))</f>
        <v>-1.4447171462003711E-2</v>
      </c>
      <c r="H250" s="3">
        <f>IF('Value at Risk'!$C$5=0,'Market Data - EQ'!C250-'Market Data - EQ'!C251,IF('Value at Risk'!$C$6=0,('Market Data - EQ'!C250-'Market Data - EQ'!C251)/'Market Data - EQ'!C251,LN('Market Data - EQ'!C250/'Market Data - EQ'!C251)))</f>
        <v>3.9396849045498523E-3</v>
      </c>
      <c r="I250" s="3">
        <f>IF('Value at Risk'!$C$5=0,'Market Data - EQ'!D250-'Market Data - EQ'!D251,IF('Value at Risk'!$C$6=0,('Market Data - EQ'!D250-'Market Data - EQ'!D251)/'Market Data - EQ'!D251,LN('Market Data - EQ'!D250/'Market Data - EQ'!D251)))</f>
        <v>-4.0937660950729022E-3</v>
      </c>
      <c r="J250" s="3">
        <f>IF('Value at Risk'!$C$5=0,'Market Data - EQ'!E250-'Market Data - EQ'!E251,IF('Value at Risk'!$C$6=0,('Market Data - EQ'!E250-'Market Data - EQ'!E251)/'Market Data - EQ'!E251,LN('Market Data - EQ'!E250/'Market Data - EQ'!E251)))</f>
        <v>-8.4409912083370491E-3</v>
      </c>
      <c r="K250" s="3">
        <f>IF('Value at Risk'!$C$5=0,'Market Data - EQ'!F250-'Market Data - EQ'!F251,IF('Value at Risk'!$C$6=0,('Market Data - EQ'!F250-'Market Data - EQ'!F251)/'Market Data - EQ'!F251,LN('Market Data - EQ'!F250/'Market Data - EQ'!F251)))</f>
        <v>-9.4225275447219637E-3</v>
      </c>
      <c r="L250" s="8">
        <f t="shared" si="3"/>
        <v>-6.4929542811171543E-3</v>
      </c>
    </row>
    <row r="251" spans="1:12" x14ac:dyDescent="0.25">
      <c r="A251" s="5">
        <v>43455</v>
      </c>
      <c r="B251" s="4">
        <v>1055.5699460000001</v>
      </c>
      <c r="C251" s="4">
        <v>291.89999399999999</v>
      </c>
      <c r="D251" s="4">
        <v>354.20001200000002</v>
      </c>
      <c r="E251" s="4">
        <v>1575.650024</v>
      </c>
      <c r="F251" s="4">
        <v>620.84997599999997</v>
      </c>
      <c r="G251" s="3">
        <f>IF('Value at Risk'!$C$5=0,'Market Data - EQ'!B251-'Market Data - EQ'!B252,IF('Value at Risk'!$C$6=0,('Market Data - EQ'!B251-'Market Data - EQ'!B252)/'Market Data - EQ'!B252,LN('Market Data - EQ'!B251/'Market Data - EQ'!B252)))</f>
        <v>-1.230446268136587E-2</v>
      </c>
      <c r="H251" s="3">
        <f>IF('Value at Risk'!$C$5=0,'Market Data - EQ'!C251-'Market Data - EQ'!C252,IF('Value at Risk'!$C$6=0,('Market Data - EQ'!C251-'Market Data - EQ'!C252)/'Market Data - EQ'!C252,LN('Market Data - EQ'!C251/'Market Data - EQ'!C252)))</f>
        <v>-7.3116615804792772E-3</v>
      </c>
      <c r="I251" s="3">
        <f>IF('Value at Risk'!$C$5=0,'Market Data - EQ'!D251-'Market Data - EQ'!D252,IF('Value at Risk'!$C$6=0,('Market Data - EQ'!D251-'Market Data - EQ'!D252)/'Market Data - EQ'!D252,LN('Market Data - EQ'!D251/'Market Data - EQ'!D252)))</f>
        <v>-2.1952180399594255E-2</v>
      </c>
      <c r="J251" s="3">
        <f>IF('Value at Risk'!$C$5=0,'Market Data - EQ'!E251-'Market Data - EQ'!E252,IF('Value at Risk'!$C$6=0,('Market Data - EQ'!E251-'Market Data - EQ'!E252)/'Market Data - EQ'!E252,LN('Market Data - EQ'!E251/'Market Data - EQ'!E252)))</f>
        <v>-2.3064731719349911E-2</v>
      </c>
      <c r="K251" s="3">
        <f>IF('Value at Risk'!$C$5=0,'Market Data - EQ'!F251-'Market Data - EQ'!F252,IF('Value at Risk'!$C$6=0,('Market Data - EQ'!F251-'Market Data - EQ'!F252)/'Market Data - EQ'!F252,LN('Market Data - EQ'!F251/'Market Data - EQ'!F252)))</f>
        <v>-1.9116890387230207E-2</v>
      </c>
      <c r="L251" s="8">
        <f t="shared" si="3"/>
        <v>-1.6749985353603905E-2</v>
      </c>
    </row>
    <row r="252" spans="1:12" x14ac:dyDescent="0.25">
      <c r="A252" s="5">
        <v>43454</v>
      </c>
      <c r="B252" s="4">
        <v>1068.719971</v>
      </c>
      <c r="C252" s="4">
        <v>294.04998799999998</v>
      </c>
      <c r="D252" s="4">
        <v>362.14999399999999</v>
      </c>
      <c r="E252" s="4">
        <v>1612.849976</v>
      </c>
      <c r="F252" s="4">
        <v>632.95001200000002</v>
      </c>
      <c r="G252" s="3">
        <f>IF('Value at Risk'!$C$5=0,'Market Data - EQ'!B252-'Market Data - EQ'!B253,IF('Value at Risk'!$C$6=0,('Market Data - EQ'!B252-'Market Data - EQ'!B253)/'Market Data - EQ'!B253,LN('Market Data - EQ'!B252/'Market Data - EQ'!B253)))</f>
        <v>6.5930755671920957E-3</v>
      </c>
      <c r="H252" s="3">
        <f>IF('Value at Risk'!$C$5=0,'Market Data - EQ'!C252-'Market Data - EQ'!C253,IF('Value at Risk'!$C$6=0,('Market Data - EQ'!C252-'Market Data - EQ'!C253)/'Market Data - EQ'!C253,LN('Market Data - EQ'!C252/'Market Data - EQ'!C253)))</f>
        <v>-2.2115143779907896E-2</v>
      </c>
      <c r="I252" s="3">
        <f>IF('Value at Risk'!$C$5=0,'Market Data - EQ'!D252-'Market Data - EQ'!D253,IF('Value at Risk'!$C$6=0,('Market Data - EQ'!D252-'Market Data - EQ'!D253)/'Market Data - EQ'!D253,LN('Market Data - EQ'!D252/'Market Data - EQ'!D253)))</f>
        <v>-1.1869047748976829E-2</v>
      </c>
      <c r="J252" s="3">
        <f>IF('Value at Risk'!$C$5=0,'Market Data - EQ'!E252-'Market Data - EQ'!E253,IF('Value at Risk'!$C$6=0,('Market Data - EQ'!E252-'Market Data - EQ'!E253)/'Market Data - EQ'!E253,LN('Market Data - EQ'!E252/'Market Data - EQ'!E253)))</f>
        <v>1.2398970453860811E-4</v>
      </c>
      <c r="K252" s="3">
        <f>IF('Value at Risk'!$C$5=0,'Market Data - EQ'!F252-'Market Data - EQ'!F253,IF('Value at Risk'!$C$6=0,('Market Data - EQ'!F252-'Market Data - EQ'!F253)/'Market Data - EQ'!F253,LN('Market Data - EQ'!F252/'Market Data - EQ'!F253)))</f>
        <v>-1.3558811929538733E-2</v>
      </c>
      <c r="L252" s="8">
        <f t="shared" si="3"/>
        <v>-8.1651876373385508E-3</v>
      </c>
    </row>
    <row r="253" spans="1:12" x14ac:dyDescent="0.25">
      <c r="A253" s="5">
        <v>43453</v>
      </c>
      <c r="B253" s="4">
        <v>1061.719971</v>
      </c>
      <c r="C253" s="4">
        <v>300.70001200000002</v>
      </c>
      <c r="D253" s="4">
        <v>366.5</v>
      </c>
      <c r="E253" s="4">
        <v>1612.650024</v>
      </c>
      <c r="F253" s="4">
        <v>641.65002400000003</v>
      </c>
      <c r="G253" s="3">
        <f>IF('Value at Risk'!$C$5=0,'Market Data - EQ'!B253-'Market Data - EQ'!B254,IF('Value at Risk'!$C$6=0,('Market Data - EQ'!B253-'Market Data - EQ'!B254)/'Market Data - EQ'!B254,LN('Market Data - EQ'!B253/'Market Data - EQ'!B254)))</f>
        <v>-5.619450944970664E-3</v>
      </c>
      <c r="H253" s="3">
        <f>IF('Value at Risk'!$C$5=0,'Market Data - EQ'!C253-'Market Data - EQ'!C254,IF('Value at Risk'!$C$6=0,('Market Data - EQ'!C253-'Market Data - EQ'!C254)/'Market Data - EQ'!C254,LN('Market Data - EQ'!C253/'Market Data - EQ'!C254)))</f>
        <v>2.7156317677199029E-2</v>
      </c>
      <c r="I253" s="3">
        <f>IF('Value at Risk'!$C$5=0,'Market Data - EQ'!D253-'Market Data - EQ'!D254,IF('Value at Risk'!$C$6=0,('Market Data - EQ'!D253-'Market Data - EQ'!D254)/'Market Data - EQ'!D254,LN('Market Data - EQ'!D253/'Market Data - EQ'!D254)))</f>
        <v>1.1732229123533472E-2</v>
      </c>
      <c r="J253" s="3">
        <f>IF('Value at Risk'!$C$5=0,'Market Data - EQ'!E253-'Market Data - EQ'!E254,IF('Value at Risk'!$C$6=0,('Market Data - EQ'!E253-'Market Data - EQ'!E254)/'Market Data - EQ'!E254,LN('Market Data - EQ'!E253/'Market Data - EQ'!E254)))</f>
        <v>-1.6406955686657367E-2</v>
      </c>
      <c r="K253" s="3">
        <f>IF('Value at Risk'!$C$5=0,'Market Data - EQ'!F253-'Market Data - EQ'!F254,IF('Value at Risk'!$C$6=0,('Market Data - EQ'!F253-'Market Data - EQ'!F254)/'Market Data - EQ'!F254,LN('Market Data - EQ'!F253/'Market Data - EQ'!F254)))</f>
        <v>3.5921858472514362E-2</v>
      </c>
      <c r="L253" s="8">
        <f t="shared" si="3"/>
        <v>1.0556799728323765E-2</v>
      </c>
    </row>
    <row r="254" spans="1:12" x14ac:dyDescent="0.25">
      <c r="A254" s="5">
        <v>43452</v>
      </c>
      <c r="B254" s="4">
        <v>1067.719971</v>
      </c>
      <c r="C254" s="4">
        <v>292.75</v>
      </c>
      <c r="D254" s="4">
        <v>362.25</v>
      </c>
      <c r="E254" s="4">
        <v>1639.5500489999999</v>
      </c>
      <c r="F254" s="4">
        <v>619.40002400000003</v>
      </c>
      <c r="G254" s="3">
        <f>IF('Value at Risk'!$C$5=0,'Market Data - EQ'!B254-'Market Data - EQ'!B255,IF('Value at Risk'!$C$6=0,('Market Data - EQ'!B254-'Market Data - EQ'!B255)/'Market Data - EQ'!B255,LN('Market Data - EQ'!B254/'Market Data - EQ'!B255)))</f>
        <v>2.4598582847024843E-3</v>
      </c>
      <c r="H254" s="3">
        <f>IF('Value at Risk'!$C$5=0,'Market Data - EQ'!C254-'Market Data - EQ'!C255,IF('Value at Risk'!$C$6=0,('Market Data - EQ'!C254-'Market Data - EQ'!C255)/'Market Data - EQ'!C255,LN('Market Data - EQ'!C254/'Market Data - EQ'!C255)))</f>
        <v>1.1226252158894647E-2</v>
      </c>
      <c r="I254" s="3">
        <f>IF('Value at Risk'!$C$5=0,'Market Data - EQ'!D254-'Market Data - EQ'!D255,IF('Value at Risk'!$C$6=0,('Market Data - EQ'!D254-'Market Data - EQ'!D255)/'Market Data - EQ'!D255,LN('Market Data - EQ'!D254/'Market Data - EQ'!D255)))</f>
        <v>1.0601165777056758E-2</v>
      </c>
      <c r="J254" s="3">
        <f>IF('Value at Risk'!$C$5=0,'Market Data - EQ'!E254-'Market Data - EQ'!E255,IF('Value at Risk'!$C$6=0,('Market Data - EQ'!E254-'Market Data - EQ'!E255)/'Market Data - EQ'!E255,LN('Market Data - EQ'!E254/'Market Data - EQ'!E255)))</f>
        <v>3.7959243830790463E-3</v>
      </c>
      <c r="K254" s="3">
        <f>IF('Value at Risk'!$C$5=0,'Market Data - EQ'!F254-'Market Data - EQ'!F255,IF('Value at Risk'!$C$6=0,('Market Data - EQ'!F254-'Market Data - EQ'!F255)/'Market Data - EQ'!F255,LN('Market Data - EQ'!F254/'Market Data - EQ'!F255)))</f>
        <v>3.6457909948975388E-3</v>
      </c>
      <c r="L254" s="8">
        <f t="shared" si="3"/>
        <v>6.3457983197260951E-3</v>
      </c>
    </row>
    <row r="255" spans="1:12" x14ac:dyDescent="0.25">
      <c r="A255" s="5">
        <v>43451</v>
      </c>
      <c r="B255" s="4">
        <v>1065.099976</v>
      </c>
      <c r="C255" s="4">
        <v>289.5</v>
      </c>
      <c r="D255" s="4">
        <v>358.45001200000002</v>
      </c>
      <c r="E255" s="4">
        <v>1633.349976</v>
      </c>
      <c r="F255" s="4">
        <v>617.15002400000003</v>
      </c>
      <c r="G255" s="3">
        <f>IF('Value at Risk'!$C$5=0,'Market Data - EQ'!B255-'Market Data - EQ'!B256,IF('Value at Risk'!$C$6=0,('Market Data - EQ'!B255-'Market Data - EQ'!B256)/'Market Data - EQ'!B256,LN('Market Data - EQ'!B255/'Market Data - EQ'!B256)))</f>
        <v>1.6462280283527916E-2</v>
      </c>
      <c r="H255" s="3">
        <f>IF('Value at Risk'!$C$5=0,'Market Data - EQ'!C255-'Market Data - EQ'!C256,IF('Value at Risk'!$C$6=0,('Market Data - EQ'!C255-'Market Data - EQ'!C256)/'Market Data - EQ'!C256,LN('Market Data - EQ'!C255/'Market Data - EQ'!C256)))</f>
        <v>1.0373028615226502E-3</v>
      </c>
      <c r="I255" s="3">
        <f>IF('Value at Risk'!$C$5=0,'Market Data - EQ'!D255-'Market Data - EQ'!D256,IF('Value at Risk'!$C$6=0,('Market Data - EQ'!D255-'Market Data - EQ'!D256)/'Market Data - EQ'!D256,LN('Market Data - EQ'!D255/'Market Data - EQ'!D256)))</f>
        <v>1.8613293866666058E-2</v>
      </c>
      <c r="J255" s="3">
        <f>IF('Value at Risk'!$C$5=0,'Market Data - EQ'!E255-'Market Data - EQ'!E256,IF('Value at Risk'!$C$6=0,('Market Data - EQ'!E255-'Market Data - EQ'!E256)/'Market Data - EQ'!E256,LN('Market Data - EQ'!E255/'Market Data - EQ'!E256)))</f>
        <v>1.8393241538446736E-2</v>
      </c>
      <c r="K255" s="3">
        <f>IF('Value at Risk'!$C$5=0,'Market Data - EQ'!F255-'Market Data - EQ'!F256,IF('Value at Risk'!$C$6=0,('Market Data - EQ'!F255-'Market Data - EQ'!F256)/'Market Data - EQ'!F256,LN('Market Data - EQ'!F255/'Market Data - EQ'!F256)))</f>
        <v>-4.9979459895203061E-3</v>
      </c>
      <c r="L255" s="8">
        <f t="shared" si="3"/>
        <v>9.9016345121286098E-3</v>
      </c>
    </row>
    <row r="256" spans="1:12" x14ac:dyDescent="0.25">
      <c r="A256" s="5">
        <v>43448</v>
      </c>
      <c r="B256" s="4">
        <v>1047.849976</v>
      </c>
      <c r="C256" s="4">
        <v>289.20001200000002</v>
      </c>
      <c r="D256" s="4">
        <v>351.89999399999999</v>
      </c>
      <c r="E256" s="4">
        <v>1603.849976</v>
      </c>
      <c r="F256" s="4">
        <v>620.25</v>
      </c>
      <c r="G256" s="3">
        <f>IF('Value at Risk'!$C$5=0,'Market Data - EQ'!B256-'Market Data - EQ'!B257,IF('Value at Risk'!$C$6=0,('Market Data - EQ'!B256-'Market Data - EQ'!B257)/'Market Data - EQ'!B257,LN('Market Data - EQ'!B256/'Market Data - EQ'!B257)))</f>
        <v>-2.6650625194294579E-3</v>
      </c>
      <c r="H256" s="3">
        <f>IF('Value at Risk'!$C$5=0,'Market Data - EQ'!C256-'Market Data - EQ'!C257,IF('Value at Risk'!$C$6=0,('Market Data - EQ'!C256-'Market Data - EQ'!C257)/'Market Data - EQ'!C257,LN('Market Data - EQ'!C256/'Market Data - EQ'!C257)))</f>
        <v>6.9208304498275149E-4</v>
      </c>
      <c r="I256" s="3">
        <f>IF('Value at Risk'!$C$5=0,'Market Data - EQ'!D256-'Market Data - EQ'!D257,IF('Value at Risk'!$C$6=0,('Market Data - EQ'!D256-'Market Data - EQ'!D257)/'Market Data - EQ'!D257,LN('Market Data - EQ'!D256/'Market Data - EQ'!D257)))</f>
        <v>6.7229468764851098E-3</v>
      </c>
      <c r="J256" s="3">
        <f>IF('Value at Risk'!$C$5=0,'Market Data - EQ'!E256-'Market Data - EQ'!E257,IF('Value at Risk'!$C$6=0,('Market Data - EQ'!E256-'Market Data - EQ'!E257)/'Market Data - EQ'!E257,LN('Market Data - EQ'!E256/'Market Data - EQ'!E257)))</f>
        <v>-3.8817465332351511E-3</v>
      </c>
      <c r="K256" s="3">
        <f>IF('Value at Risk'!$C$5=0,'Market Data - EQ'!F256-'Market Data - EQ'!F257,IF('Value at Risk'!$C$6=0,('Market Data - EQ'!F256-'Market Data - EQ'!F257)/'Market Data - EQ'!F257,LN('Market Data - EQ'!F256/'Market Data - EQ'!F257)))</f>
        <v>1.8575739696039505E-3</v>
      </c>
      <c r="L256" s="8">
        <f t="shared" si="3"/>
        <v>5.4515896768144053E-4</v>
      </c>
    </row>
    <row r="257" spans="1:12" x14ac:dyDescent="0.25">
      <c r="A257" s="5">
        <v>43447</v>
      </c>
      <c r="B257" s="4">
        <v>1050.650024</v>
      </c>
      <c r="C257" s="4">
        <v>289</v>
      </c>
      <c r="D257" s="4">
        <v>349.54998799999998</v>
      </c>
      <c r="E257" s="4">
        <v>1610.099976</v>
      </c>
      <c r="F257" s="4">
        <v>619.09997599999997</v>
      </c>
      <c r="G257" s="3">
        <f>IF('Value at Risk'!$C$5=0,'Market Data - EQ'!B257-'Market Data - EQ'!B258,IF('Value at Risk'!$C$6=0,('Market Data - EQ'!B257-'Market Data - EQ'!B258)/'Market Data - EQ'!B258,LN('Market Data - EQ'!B257/'Market Data - EQ'!B258)))</f>
        <v>7.6727567408563157E-3</v>
      </c>
      <c r="H257" s="3">
        <f>IF('Value at Risk'!$C$5=0,'Market Data - EQ'!C257-'Market Data - EQ'!C258,IF('Value at Risk'!$C$6=0,('Market Data - EQ'!C257-'Market Data - EQ'!C258)/'Market Data - EQ'!C258,LN('Market Data - EQ'!C257/'Market Data - EQ'!C258)))</f>
        <v>1.3146362839614373E-2</v>
      </c>
      <c r="I257" s="3">
        <f>IF('Value at Risk'!$C$5=0,'Market Data - EQ'!D257-'Market Data - EQ'!D258,IF('Value at Risk'!$C$6=0,('Market Data - EQ'!D257-'Market Data - EQ'!D258)/'Market Data - EQ'!D258,LN('Market Data - EQ'!D257/'Market Data - EQ'!D258)))</f>
        <v>-1.1430889735189675E-3</v>
      </c>
      <c r="J257" s="3">
        <f>IF('Value at Risk'!$C$5=0,'Market Data - EQ'!E257-'Market Data - EQ'!E258,IF('Value at Risk'!$C$6=0,('Market Data - EQ'!E257-'Market Data - EQ'!E258)/'Market Data - EQ'!E258,LN('Market Data - EQ'!E257/'Market Data - EQ'!E258)))</f>
        <v>1.7633690977152554E-2</v>
      </c>
      <c r="K257" s="3">
        <f>IF('Value at Risk'!$C$5=0,'Market Data - EQ'!F257-'Market Data - EQ'!F258,IF('Value at Risk'!$C$6=0,('Market Data - EQ'!F257-'Market Data - EQ'!F258)/'Market Data - EQ'!F258,LN('Market Data - EQ'!F257/'Market Data - EQ'!F258)))</f>
        <v>-1.3711363554260976E-3</v>
      </c>
      <c r="L257" s="8">
        <f t="shared" si="3"/>
        <v>7.1877170457356355E-3</v>
      </c>
    </row>
    <row r="258" spans="1:12" x14ac:dyDescent="0.25">
      <c r="A258" s="5">
        <v>43446</v>
      </c>
      <c r="B258" s="4">
        <v>1042.650024</v>
      </c>
      <c r="C258" s="4">
        <v>285.25</v>
      </c>
      <c r="D258" s="4">
        <v>349.95001200000002</v>
      </c>
      <c r="E258" s="4">
        <v>1582.1999510000001</v>
      </c>
      <c r="F258" s="4">
        <v>619.95001200000002</v>
      </c>
      <c r="G258" s="3">
        <f>IF('Value at Risk'!$C$5=0,'Market Data - EQ'!B258-'Market Data - EQ'!B259,IF('Value at Risk'!$C$6=0,('Market Data - EQ'!B258-'Market Data - EQ'!B259)/'Market Data - EQ'!B259,LN('Market Data - EQ'!B258/'Market Data - EQ'!B259)))</f>
        <v>1.2497809859934676E-2</v>
      </c>
      <c r="H258" s="3">
        <f>IF('Value at Risk'!$C$5=0,'Market Data - EQ'!C258-'Market Data - EQ'!C259,IF('Value at Risk'!$C$6=0,('Market Data - EQ'!C258-'Market Data - EQ'!C259)/'Market Data - EQ'!C259,LN('Market Data - EQ'!C258/'Market Data - EQ'!C259)))</f>
        <v>1.4222222222222223E-2</v>
      </c>
      <c r="I258" s="3">
        <f>IF('Value at Risk'!$C$5=0,'Market Data - EQ'!D258-'Market Data - EQ'!D259,IF('Value at Risk'!$C$6=0,('Market Data - EQ'!D258-'Market Data - EQ'!D259)/'Market Data - EQ'!D259,LN('Market Data - EQ'!D258/'Market Data - EQ'!D259)))</f>
        <v>2.0857713682300452E-2</v>
      </c>
      <c r="J258" s="3">
        <f>IF('Value at Risk'!$C$5=0,'Market Data - EQ'!E258-'Market Data - EQ'!E259,IF('Value at Risk'!$C$6=0,('Market Data - EQ'!E258-'Market Data - EQ'!E259)/'Market Data - EQ'!E259,LN('Market Data - EQ'!E258/'Market Data - EQ'!E259)))</f>
        <v>1.8933475703413062E-2</v>
      </c>
      <c r="K258" s="3">
        <f>IF('Value at Risk'!$C$5=0,'Market Data - EQ'!F258-'Market Data - EQ'!F259,IF('Value at Risk'!$C$6=0,('Market Data - EQ'!F258-'Market Data - EQ'!F259)/'Market Data - EQ'!F259,LN('Market Data - EQ'!F258/'Market Data - EQ'!F259)))</f>
        <v>2.5982642945800605E-2</v>
      </c>
      <c r="L258" s="8">
        <f t="shared" si="3"/>
        <v>1.8498772882734205E-2</v>
      </c>
    </row>
    <row r="259" spans="1:12" x14ac:dyDescent="0.25">
      <c r="A259" s="5">
        <v>43445</v>
      </c>
      <c r="B259" s="4">
        <v>1029.780029</v>
      </c>
      <c r="C259" s="4">
        <v>281.25</v>
      </c>
      <c r="D259" s="4">
        <v>342.79998799999998</v>
      </c>
      <c r="E259" s="4">
        <v>1552.8000489999999</v>
      </c>
      <c r="F259" s="4">
        <v>604.25</v>
      </c>
      <c r="G259" s="3">
        <f>IF('Value at Risk'!$C$5=0,'Market Data - EQ'!B259-'Market Data - EQ'!B260,IF('Value at Risk'!$C$6=0,('Market Data - EQ'!B259-'Market Data - EQ'!B260)/'Market Data - EQ'!B260,LN('Market Data - EQ'!B259/'Market Data - EQ'!B260)))</f>
        <v>-1.3979562927384817E-2</v>
      </c>
      <c r="H259" s="3">
        <f>IF('Value at Risk'!$C$5=0,'Market Data - EQ'!C259-'Market Data - EQ'!C260,IF('Value at Risk'!$C$6=0,('Market Data - EQ'!C259-'Market Data - EQ'!C260)/'Market Data - EQ'!C260,LN('Market Data - EQ'!C259/'Market Data - EQ'!C260)))</f>
        <v>2.5711114848528834E-2</v>
      </c>
      <c r="I259" s="3">
        <f>IF('Value at Risk'!$C$5=0,'Market Data - EQ'!D259-'Market Data - EQ'!D260,IF('Value at Risk'!$C$6=0,('Market Data - EQ'!D259-'Market Data - EQ'!D260)/'Market Data - EQ'!D260,LN('Market Data - EQ'!D259/'Market Data - EQ'!D260)))</f>
        <v>-1.024979915836936E-2</v>
      </c>
      <c r="J259" s="3">
        <f>IF('Value at Risk'!$C$5=0,'Market Data - EQ'!E259-'Market Data - EQ'!E260,IF('Value at Risk'!$C$6=0,('Market Data - EQ'!E259-'Market Data - EQ'!E260)/'Market Data - EQ'!E260,LN('Market Data - EQ'!E259/'Market Data - EQ'!E260)))</f>
        <v>-1.0614056753250275E-3</v>
      </c>
      <c r="K259" s="3">
        <f>IF('Value at Risk'!$C$5=0,'Market Data - EQ'!F259-'Market Data - EQ'!F260,IF('Value at Risk'!$C$6=0,('Market Data - EQ'!F259-'Market Data - EQ'!F260)/'Market Data - EQ'!F260,LN('Market Data - EQ'!F259/'Market Data - EQ'!F260)))</f>
        <v>2.3632072308292194E-2</v>
      </c>
      <c r="L259" s="8">
        <f t="shared" si="3"/>
        <v>4.8104838791483643E-3</v>
      </c>
    </row>
    <row r="260" spans="1:12" x14ac:dyDescent="0.25">
      <c r="A260" s="5">
        <v>43444</v>
      </c>
      <c r="B260" s="4">
        <v>1044.380005</v>
      </c>
      <c r="C260" s="4">
        <v>274.20001200000002</v>
      </c>
      <c r="D260" s="4">
        <v>346.35000600000001</v>
      </c>
      <c r="E260" s="4">
        <v>1554.4499510000001</v>
      </c>
      <c r="F260" s="4">
        <v>590.29998799999998</v>
      </c>
      <c r="G260" s="3">
        <f>IF('Value at Risk'!$C$5=0,'Market Data - EQ'!B260-'Market Data - EQ'!B261,IF('Value at Risk'!$C$6=0,('Market Data - EQ'!B260-'Market Data - EQ'!B261)/'Market Data - EQ'!B261,LN('Market Data - EQ'!B260/'Market Data - EQ'!B261)))</f>
        <v>-8.9391189618363374E-3</v>
      </c>
      <c r="H260" s="3">
        <f>IF('Value at Risk'!$C$5=0,'Market Data - EQ'!C260-'Market Data - EQ'!C261,IF('Value at Risk'!$C$6=0,('Market Data - EQ'!C260-'Market Data - EQ'!C261)/'Market Data - EQ'!C261,LN('Market Data - EQ'!C260/'Market Data - EQ'!C261)))</f>
        <v>-4.3572332103971548E-3</v>
      </c>
      <c r="I260" s="3">
        <f>IF('Value at Risk'!$C$5=0,'Market Data - EQ'!D260-'Market Data - EQ'!D261,IF('Value at Risk'!$C$6=0,('Market Data - EQ'!D260-'Market Data - EQ'!D261)/'Market Data - EQ'!D261,LN('Market Data - EQ'!D260/'Market Data - EQ'!D261)))</f>
        <v>-1.6609897219424307E-2</v>
      </c>
      <c r="J260" s="3">
        <f>IF('Value at Risk'!$C$5=0,'Market Data - EQ'!E260-'Market Data - EQ'!E261,IF('Value at Risk'!$C$6=0,('Market Data - EQ'!E260-'Market Data - EQ'!E261)/'Market Data - EQ'!E261,LN('Market Data - EQ'!E260/'Market Data - EQ'!E261)))</f>
        <v>-7.8823701900457947E-3</v>
      </c>
      <c r="K260" s="3">
        <f>IF('Value at Risk'!$C$5=0,'Market Data - EQ'!F260-'Market Data - EQ'!F261,IF('Value at Risk'!$C$6=0,('Market Data - EQ'!F260-'Market Data - EQ'!F261)/'Market Data - EQ'!F261,LN('Market Data - EQ'!F260/'Market Data - EQ'!F261)))</f>
        <v>-2.2601247998650639E-2</v>
      </c>
      <c r="L260" s="8">
        <f t="shared" ref="L260:L323" si="4">AVERAGE(G260:K260)</f>
        <v>-1.2077973516070848E-2</v>
      </c>
    </row>
    <row r="261" spans="1:12" x14ac:dyDescent="0.25">
      <c r="A261" s="5">
        <v>43441</v>
      </c>
      <c r="B261" s="4">
        <v>1053.8000489999999</v>
      </c>
      <c r="C261" s="4">
        <v>275.39999399999999</v>
      </c>
      <c r="D261" s="4">
        <v>352.20001200000002</v>
      </c>
      <c r="E261" s="4">
        <v>1566.8000489999999</v>
      </c>
      <c r="F261" s="4">
        <v>603.95001200000002</v>
      </c>
      <c r="G261" s="3">
        <f>IF('Value at Risk'!$C$5=0,'Market Data - EQ'!B261-'Market Data - EQ'!B262,IF('Value at Risk'!$C$6=0,('Market Data - EQ'!B261-'Market Data - EQ'!B262)/'Market Data - EQ'!B262,LN('Market Data - EQ'!B261/'Market Data - EQ'!B262)))</f>
        <v>5.0261030721514329E-3</v>
      </c>
      <c r="H261" s="3">
        <f>IF('Value at Risk'!$C$5=0,'Market Data - EQ'!C261-'Market Data - EQ'!C262,IF('Value at Risk'!$C$6=0,('Market Data - EQ'!C261-'Market Data - EQ'!C262)/'Market Data - EQ'!C262,LN('Market Data - EQ'!C261/'Market Data - EQ'!C262)))</f>
        <v>-9.0694723541332638E-4</v>
      </c>
      <c r="I261" s="3">
        <f>IF('Value at Risk'!$C$5=0,'Market Data - EQ'!D261-'Market Data - EQ'!D262,IF('Value at Risk'!$C$6=0,('Market Data - EQ'!D261-'Market Data - EQ'!D262)/'Market Data - EQ'!D262,LN('Market Data - EQ'!D261/'Market Data - EQ'!D262)))</f>
        <v>1.3087927739184782E-2</v>
      </c>
      <c r="J261" s="3">
        <f>IF('Value at Risk'!$C$5=0,'Market Data - EQ'!E261-'Market Data - EQ'!E262,IF('Value at Risk'!$C$6=0,('Market Data - EQ'!E261-'Market Data - EQ'!E262)/'Market Data - EQ'!E262,LN('Market Data - EQ'!E261/'Market Data - EQ'!E262)))</f>
        <v>-1.6884272087247406E-3</v>
      </c>
      <c r="K261" s="3">
        <f>IF('Value at Risk'!$C$5=0,'Market Data - EQ'!F261-'Market Data - EQ'!F262,IF('Value at Risk'!$C$6=0,('Market Data - EQ'!F261-'Market Data - EQ'!F262)/'Market Data - EQ'!F262,LN('Market Data - EQ'!F261/'Market Data - EQ'!F262)))</f>
        <v>6.4994985051145945E-3</v>
      </c>
      <c r="L261" s="8">
        <f t="shared" si="4"/>
        <v>4.4036309744625492E-3</v>
      </c>
    </row>
    <row r="262" spans="1:12" x14ac:dyDescent="0.25">
      <c r="A262" s="5">
        <v>43440</v>
      </c>
      <c r="B262" s="4">
        <v>1048.530029</v>
      </c>
      <c r="C262" s="4">
        <v>275.64999399999999</v>
      </c>
      <c r="D262" s="4">
        <v>347.64999399999999</v>
      </c>
      <c r="E262" s="4">
        <v>1569.4499510000001</v>
      </c>
      <c r="F262" s="4">
        <v>600.04998799999998</v>
      </c>
      <c r="G262" s="3">
        <f>IF('Value at Risk'!$C$5=0,'Market Data - EQ'!B262-'Market Data - EQ'!B263,IF('Value at Risk'!$C$6=0,('Market Data - EQ'!B262-'Market Data - EQ'!B263)/'Market Data - EQ'!B263,LN('Market Data - EQ'!B262/'Market Data - EQ'!B263)))</f>
        <v>-1.0193855034920051E-3</v>
      </c>
      <c r="H262" s="3">
        <f>IF('Value at Risk'!$C$5=0,'Market Data - EQ'!C262-'Market Data - EQ'!C263,IF('Value at Risk'!$C$6=0,('Market Data - EQ'!C262-'Market Data - EQ'!C263)/'Market Data - EQ'!C263,LN('Market Data - EQ'!C262/'Market Data - EQ'!C263)))</f>
        <v>-1.6062823831436528E-2</v>
      </c>
      <c r="I262" s="3">
        <f>IF('Value at Risk'!$C$5=0,'Market Data - EQ'!D262-'Market Data - EQ'!D263,IF('Value at Risk'!$C$6=0,('Market Data - EQ'!D262-'Market Data - EQ'!D263)/'Market Data - EQ'!D263,LN('Market Data - EQ'!D262/'Market Data - EQ'!D263)))</f>
        <v>-1.0671599499230498E-2</v>
      </c>
      <c r="J262" s="3">
        <f>IF('Value at Risk'!$C$5=0,'Market Data - EQ'!E262-'Market Data - EQ'!E263,IF('Value at Risk'!$C$6=0,('Market Data - EQ'!E262-'Market Data - EQ'!E263)/'Market Data - EQ'!E263,LN('Market Data - EQ'!E262/'Market Data - EQ'!E263)))</f>
        <v>-2.1295850281304766E-2</v>
      </c>
      <c r="K262" s="3">
        <f>IF('Value at Risk'!$C$5=0,'Market Data - EQ'!F262-'Market Data - EQ'!F263,IF('Value at Risk'!$C$6=0,('Market Data - EQ'!F262-'Market Data - EQ'!F263)/'Market Data - EQ'!F263,LN('Market Data - EQ'!F262/'Market Data - EQ'!F263)))</f>
        <v>-2.422965071834169E-2</v>
      </c>
      <c r="L262" s="8">
        <f t="shared" si="4"/>
        <v>-1.4655861966761097E-2</v>
      </c>
    </row>
    <row r="263" spans="1:12" x14ac:dyDescent="0.25">
      <c r="A263" s="5">
        <v>43439</v>
      </c>
      <c r="B263" s="4">
        <v>1049.599976</v>
      </c>
      <c r="C263" s="4">
        <v>280.14999399999999</v>
      </c>
      <c r="D263" s="4">
        <v>351.39999399999999</v>
      </c>
      <c r="E263" s="4">
        <v>1603.599976</v>
      </c>
      <c r="F263" s="4">
        <v>614.95001200000002</v>
      </c>
      <c r="G263" s="3">
        <f>IF('Value at Risk'!$C$5=0,'Market Data - EQ'!B263-'Market Data - EQ'!B264,IF('Value at Risk'!$C$6=0,('Market Data - EQ'!B263-'Market Data - EQ'!B264)/'Market Data - EQ'!B264,LN('Market Data - EQ'!B263/'Market Data - EQ'!B264)))</f>
        <v>6.540158816179204E-3</v>
      </c>
      <c r="H263" s="3">
        <f>IF('Value at Risk'!$C$5=0,'Market Data - EQ'!C263-'Market Data - EQ'!C264,IF('Value at Risk'!$C$6=0,('Market Data - EQ'!C263-'Market Data - EQ'!C264)/'Market Data - EQ'!C264,LN('Market Data - EQ'!C263/'Market Data - EQ'!C264)))</f>
        <v>-8.4940509712567829E-3</v>
      </c>
      <c r="I263" s="3">
        <f>IF('Value at Risk'!$C$5=0,'Market Data - EQ'!D263-'Market Data - EQ'!D264,IF('Value at Risk'!$C$6=0,('Market Data - EQ'!D263-'Market Data - EQ'!D264)/'Market Data - EQ'!D264,LN('Market Data - EQ'!D263/'Market Data - EQ'!D264)))</f>
        <v>-1.8298694735062678E-2</v>
      </c>
      <c r="J263" s="3">
        <f>IF('Value at Risk'!$C$5=0,'Market Data - EQ'!E263-'Market Data - EQ'!E264,IF('Value at Risk'!$C$6=0,('Market Data - EQ'!E263-'Market Data - EQ'!E264)/'Market Data - EQ'!E264,LN('Market Data - EQ'!E263/'Market Data - EQ'!E264)))</f>
        <v>-1.9654607366651401E-2</v>
      </c>
      <c r="K263" s="3">
        <f>IF('Value at Risk'!$C$5=0,'Market Data - EQ'!F263-'Market Data - EQ'!F264,IF('Value at Risk'!$C$6=0,('Market Data - EQ'!F263-'Market Data - EQ'!F264)/'Market Data - EQ'!F264,LN('Market Data - EQ'!F263/'Market Data - EQ'!F264)))</f>
        <v>-1.3317269153630139E-2</v>
      </c>
      <c r="L263" s="8">
        <f t="shared" si="4"/>
        <v>-1.0644892682084359E-2</v>
      </c>
    </row>
    <row r="264" spans="1:12" x14ac:dyDescent="0.25">
      <c r="A264" s="5">
        <v>43438</v>
      </c>
      <c r="B264" s="4">
        <v>1042.780029</v>
      </c>
      <c r="C264" s="4">
        <v>282.54998799999998</v>
      </c>
      <c r="D264" s="4">
        <v>357.95001200000002</v>
      </c>
      <c r="E264" s="4">
        <v>1635.75</v>
      </c>
      <c r="F264" s="4">
        <v>623.25</v>
      </c>
      <c r="G264" s="3">
        <f>IF('Value at Risk'!$C$5=0,'Market Data - EQ'!B264-'Market Data - EQ'!B265,IF('Value at Risk'!$C$6=0,('Market Data - EQ'!B264-'Market Data - EQ'!B265)/'Market Data - EQ'!B265,LN('Market Data - EQ'!B264/'Market Data - EQ'!B265)))</f>
        <v>-1.3126384976072283E-2</v>
      </c>
      <c r="H264" s="3">
        <f>IF('Value at Risk'!$C$5=0,'Market Data - EQ'!C264-'Market Data - EQ'!C265,IF('Value at Risk'!$C$6=0,('Market Data - EQ'!C264-'Market Data - EQ'!C265)/'Market Data - EQ'!C265,LN('Market Data - EQ'!C264/'Market Data - EQ'!C265)))</f>
        <v>-1.4818689601897753E-2</v>
      </c>
      <c r="I264" s="3">
        <f>IF('Value at Risk'!$C$5=0,'Market Data - EQ'!D264-'Market Data - EQ'!D265,IF('Value at Risk'!$C$6=0,('Market Data - EQ'!D264-'Market Data - EQ'!D265)/'Market Data - EQ'!D265,LN('Market Data - EQ'!D264/'Market Data - EQ'!D265)))</f>
        <v>6.8917355836849931E-3</v>
      </c>
      <c r="J264" s="3">
        <f>IF('Value at Risk'!$C$5=0,'Market Data - EQ'!E264-'Market Data - EQ'!E265,IF('Value at Risk'!$C$6=0,('Market Data - EQ'!E264-'Market Data - EQ'!E265)/'Market Data - EQ'!E265,LN('Market Data - EQ'!E264/'Market Data - EQ'!E265)))</f>
        <v>-1.2407201830614657E-2</v>
      </c>
      <c r="K264" s="3">
        <f>IF('Value at Risk'!$C$5=0,'Market Data - EQ'!F264-'Market Data - EQ'!F265,IF('Value at Risk'!$C$6=0,('Market Data - EQ'!F264-'Market Data - EQ'!F265)/'Market Data - EQ'!F265,LN('Market Data - EQ'!F264/'Market Data - EQ'!F265)))</f>
        <v>-2.4807746955334206E-3</v>
      </c>
      <c r="L264" s="8">
        <f t="shared" si="4"/>
        <v>-7.1882631040866242E-3</v>
      </c>
    </row>
    <row r="265" spans="1:12" x14ac:dyDescent="0.25">
      <c r="A265" s="5">
        <v>43437</v>
      </c>
      <c r="B265" s="4">
        <v>1056.650024</v>
      </c>
      <c r="C265" s="4">
        <v>286.79998799999998</v>
      </c>
      <c r="D265" s="4">
        <v>355.5</v>
      </c>
      <c r="E265" s="4">
        <v>1656.3000489999999</v>
      </c>
      <c r="F265" s="4">
        <v>624.79998799999998</v>
      </c>
      <c r="G265" s="3">
        <f>IF('Value at Risk'!$C$5=0,'Market Data - EQ'!B265-'Market Data - EQ'!B266,IF('Value at Risk'!$C$6=0,('Market Data - EQ'!B265-'Market Data - EQ'!B266)/'Market Data - EQ'!B266,LN('Market Data - EQ'!B265/'Market Data - EQ'!B266)))</f>
        <v>-7.1131412736850025E-3</v>
      </c>
      <c r="H265" s="3">
        <f>IF('Value at Risk'!$C$5=0,'Market Data - EQ'!C265-'Market Data - EQ'!C266,IF('Value at Risk'!$C$6=0,('Market Data - EQ'!C265-'Market Data - EQ'!C266)/'Market Data - EQ'!C266,LN('Market Data - EQ'!C265/'Market Data - EQ'!C266)))</f>
        <v>7.5531145101657461E-3</v>
      </c>
      <c r="I265" s="3">
        <f>IF('Value at Risk'!$C$5=0,'Market Data - EQ'!D265-'Market Data - EQ'!D266,IF('Value at Risk'!$C$6=0,('Market Data - EQ'!D265-'Market Data - EQ'!D266)/'Market Data - EQ'!D266,LN('Market Data - EQ'!D265/'Market Data - EQ'!D266)))</f>
        <v>9.8551599581332846E-4</v>
      </c>
      <c r="J265" s="3">
        <f>IF('Value at Risk'!$C$5=0,'Market Data - EQ'!E265-'Market Data - EQ'!E266,IF('Value at Risk'!$C$6=0,('Market Data - EQ'!E265-'Market Data - EQ'!E266)/'Market Data - EQ'!E266,LN('Market Data - EQ'!E265/'Market Data - EQ'!E266)))</f>
        <v>1.5014094413720661E-2</v>
      </c>
      <c r="K265" s="3">
        <f>IF('Value at Risk'!$C$5=0,'Market Data - EQ'!F265-'Market Data - EQ'!F266,IF('Value at Risk'!$C$6=0,('Market Data - EQ'!F265-'Market Data - EQ'!F266)/'Market Data - EQ'!F266,LN('Market Data - EQ'!F265/'Market Data - EQ'!F266)))</f>
        <v>-1.5181973631642272E-3</v>
      </c>
      <c r="L265" s="8">
        <f t="shared" si="4"/>
        <v>2.9842772565701011E-3</v>
      </c>
    </row>
    <row r="266" spans="1:12" x14ac:dyDescent="0.25">
      <c r="A266" s="5">
        <v>43434</v>
      </c>
      <c r="B266" s="4">
        <v>1064.219971</v>
      </c>
      <c r="C266" s="4">
        <v>284.64999399999999</v>
      </c>
      <c r="D266" s="4">
        <v>355.14999399999999</v>
      </c>
      <c r="E266" s="4">
        <v>1631.8000489999999</v>
      </c>
      <c r="F266" s="4">
        <v>625.75</v>
      </c>
      <c r="G266" s="3">
        <f>IF('Value at Risk'!$C$5=0,'Market Data - EQ'!B266-'Market Data - EQ'!B267,IF('Value at Risk'!$C$6=0,('Market Data - EQ'!B266-'Market Data - EQ'!B267)/'Market Data - EQ'!B267,LN('Market Data - EQ'!B266/'Market Data - EQ'!B267)))</f>
        <v>-1.2294895163391273E-3</v>
      </c>
      <c r="H266" s="3">
        <f>IF('Value at Risk'!$C$5=0,'Market Data - EQ'!C266-'Market Data - EQ'!C267,IF('Value at Risk'!$C$6=0,('Market Data - EQ'!C266-'Market Data - EQ'!C267)/'Market Data - EQ'!C267,LN('Market Data - EQ'!C266/'Market Data - EQ'!C267)))</f>
        <v>-6.1103353235405448E-3</v>
      </c>
      <c r="I266" s="3">
        <f>IF('Value at Risk'!$C$5=0,'Market Data - EQ'!D266-'Market Data - EQ'!D267,IF('Value at Risk'!$C$6=0,('Market Data - EQ'!D266-'Market Data - EQ'!D267)/'Market Data - EQ'!D267,LN('Market Data - EQ'!D266/'Market Data - EQ'!D267)))</f>
        <v>-1.9464433369483218E-2</v>
      </c>
      <c r="J266" s="3">
        <f>IF('Value at Risk'!$C$5=0,'Market Data - EQ'!E266-'Market Data - EQ'!E267,IF('Value at Risk'!$C$6=0,('Market Data - EQ'!E266-'Market Data - EQ'!E267)/'Market Data - EQ'!E267,LN('Market Data - EQ'!E266/'Market Data - EQ'!E267)))</f>
        <v>-1.7313540183455201E-2</v>
      </c>
      <c r="K266" s="3">
        <f>IF('Value at Risk'!$C$5=0,'Market Data - EQ'!F266-'Market Data - EQ'!F267,IF('Value at Risk'!$C$6=0,('Market Data - EQ'!F266-'Market Data - EQ'!F267)/'Market Data - EQ'!F267,LN('Market Data - EQ'!F266/'Market Data - EQ'!F267)))</f>
        <v>-8.9484063751002173E-3</v>
      </c>
      <c r="L266" s="8">
        <f t="shared" si="4"/>
        <v>-1.0613240953583661E-2</v>
      </c>
    </row>
    <row r="267" spans="1:12" x14ac:dyDescent="0.25">
      <c r="A267" s="5">
        <v>43433</v>
      </c>
      <c r="B267" s="4">
        <v>1065.530029</v>
      </c>
      <c r="C267" s="4">
        <v>286.39999399999999</v>
      </c>
      <c r="D267" s="4">
        <v>362.20001200000002</v>
      </c>
      <c r="E267" s="4">
        <v>1660.5500489999999</v>
      </c>
      <c r="F267" s="4">
        <v>631.40002400000003</v>
      </c>
      <c r="G267" s="3">
        <f>IF('Value at Risk'!$C$5=0,'Market Data - EQ'!B267-'Market Data - EQ'!B268,IF('Value at Risk'!$C$6=0,('Market Data - EQ'!B267-'Market Data - EQ'!B268)/'Market Data - EQ'!B268,LN('Market Data - EQ'!B267/'Market Data - EQ'!B268)))</f>
        <v>2.0016880875423023E-2</v>
      </c>
      <c r="H267" s="3">
        <f>IF('Value at Risk'!$C$5=0,'Market Data - EQ'!C267-'Market Data - EQ'!C268,IF('Value at Risk'!$C$6=0,('Market Data - EQ'!C267-'Market Data - EQ'!C268)/'Market Data - EQ'!C268,LN('Market Data - EQ'!C267/'Market Data - EQ'!C268)))</f>
        <v>6.5015149464705217E-3</v>
      </c>
      <c r="I267" s="3">
        <f>IF('Value at Risk'!$C$5=0,'Market Data - EQ'!D267-'Market Data - EQ'!D268,IF('Value at Risk'!$C$6=0,('Market Data - EQ'!D267-'Market Data - EQ'!D268)/'Market Data - EQ'!D268,LN('Market Data - EQ'!D267/'Market Data - EQ'!D268)))</f>
        <v>8.913682451253525E-3</v>
      </c>
      <c r="J267" s="3">
        <f>IF('Value at Risk'!$C$5=0,'Market Data - EQ'!E267-'Market Data - EQ'!E268,IF('Value at Risk'!$C$6=0,('Market Data - EQ'!E267-'Market Data - EQ'!E268)/'Market Data - EQ'!E268,LN('Market Data - EQ'!E267/'Market Data - EQ'!E268)))</f>
        <v>2.9255941799449951E-2</v>
      </c>
      <c r="K267" s="3">
        <f>IF('Value at Risk'!$C$5=0,'Market Data - EQ'!F267-'Market Data - EQ'!F268,IF('Value at Risk'!$C$6=0,('Market Data - EQ'!F267-'Market Data - EQ'!F268)/'Market Data - EQ'!F268,LN('Market Data - EQ'!F267/'Market Data - EQ'!F268)))</f>
        <v>5.4940870038553561E-3</v>
      </c>
      <c r="L267" s="8">
        <f t="shared" si="4"/>
        <v>1.4036421415290476E-2</v>
      </c>
    </row>
    <row r="268" spans="1:12" x14ac:dyDescent="0.25">
      <c r="A268" s="5">
        <v>43432</v>
      </c>
      <c r="B268" s="4">
        <v>1044.619995</v>
      </c>
      <c r="C268" s="4">
        <v>284.54998799999998</v>
      </c>
      <c r="D268" s="4">
        <v>359</v>
      </c>
      <c r="E268" s="4">
        <v>1613.349976</v>
      </c>
      <c r="F268" s="4">
        <v>627.95001200000002</v>
      </c>
      <c r="G268" s="3">
        <f>IF('Value at Risk'!$C$5=0,'Market Data - EQ'!B268-'Market Data - EQ'!B269,IF('Value at Risk'!$C$6=0,('Market Data - EQ'!B268-'Market Data - EQ'!B269)/'Market Data - EQ'!B269,LN('Market Data - EQ'!B268/'Market Data - EQ'!B269)))</f>
        <v>1.2228677325581413E-2</v>
      </c>
      <c r="H268" s="3">
        <f>IF('Value at Risk'!$C$5=0,'Market Data - EQ'!C268-'Market Data - EQ'!C269,IF('Value at Risk'!$C$6=0,('Market Data - EQ'!C268-'Market Data - EQ'!C269)/'Market Data - EQ'!C269,LN('Market Data - EQ'!C268/'Market Data - EQ'!C269)))</f>
        <v>-1.6758832413797518E-2</v>
      </c>
      <c r="I268" s="3">
        <f>IF('Value at Risk'!$C$5=0,'Market Data - EQ'!D268-'Market Data - EQ'!D269,IF('Value at Risk'!$C$6=0,('Market Data - EQ'!D268-'Market Data - EQ'!D269)/'Market Data - EQ'!D269,LN('Market Data - EQ'!D268/'Market Data - EQ'!D269)))</f>
        <v>1.2265631111218932E-2</v>
      </c>
      <c r="J268" s="3">
        <f>IF('Value at Risk'!$C$5=0,'Market Data - EQ'!E268-'Market Data - EQ'!E269,IF('Value at Risk'!$C$6=0,('Market Data - EQ'!E268-'Market Data - EQ'!E269)/'Market Data - EQ'!E269,LN('Market Data - EQ'!E268/'Market Data - EQ'!E269)))</f>
        <v>1.5611674945722799E-2</v>
      </c>
      <c r="K268" s="3">
        <f>IF('Value at Risk'!$C$5=0,'Market Data - EQ'!F268-'Market Data - EQ'!F269,IF('Value at Risk'!$C$6=0,('Market Data - EQ'!F268-'Market Data - EQ'!F269)/'Market Data - EQ'!F269,LN('Market Data - EQ'!F268/'Market Data - EQ'!F269)))</f>
        <v>4.3182918832467259E-3</v>
      </c>
      <c r="L268" s="8">
        <f t="shared" si="4"/>
        <v>5.5330885703944706E-3</v>
      </c>
    </row>
    <row r="269" spans="1:12" x14ac:dyDescent="0.25">
      <c r="A269" s="5">
        <v>43431</v>
      </c>
      <c r="B269" s="4">
        <v>1032</v>
      </c>
      <c r="C269" s="4">
        <v>289.39999399999999</v>
      </c>
      <c r="D269" s="4">
        <v>354.64999399999999</v>
      </c>
      <c r="E269" s="4">
        <v>1588.5500489999999</v>
      </c>
      <c r="F269" s="4">
        <v>625.25</v>
      </c>
      <c r="G269" s="3">
        <f>IF('Value at Risk'!$C$5=0,'Market Data - EQ'!B269-'Market Data - EQ'!B270,IF('Value at Risk'!$C$6=0,('Market Data - EQ'!B269-'Market Data - EQ'!B270)/'Market Data - EQ'!B270,LN('Market Data - EQ'!B269/'Market Data - EQ'!B270)))</f>
        <v>6.927481543311945E-3</v>
      </c>
      <c r="H269" s="3">
        <f>IF('Value at Risk'!$C$5=0,'Market Data - EQ'!C269-'Market Data - EQ'!C270,IF('Value at Risk'!$C$6=0,('Market Data - EQ'!C269-'Market Data - EQ'!C270)/'Market Data - EQ'!C270,LN('Market Data - EQ'!C269/'Market Data - EQ'!C270)))</f>
        <v>1.0474860554640933E-2</v>
      </c>
      <c r="I269" s="3">
        <f>IF('Value at Risk'!$C$5=0,'Market Data - EQ'!D269-'Market Data - EQ'!D270,IF('Value at Risk'!$C$6=0,('Market Data - EQ'!D269-'Market Data - EQ'!D270)/'Market Data - EQ'!D270,LN('Market Data - EQ'!D269/'Market Data - EQ'!D270)))</f>
        <v>-4.770624305812458E-3</v>
      </c>
      <c r="J269" s="3">
        <f>IF('Value at Risk'!$C$5=0,'Market Data - EQ'!E269-'Market Data - EQ'!E270,IF('Value at Risk'!$C$6=0,('Market Data - EQ'!E269-'Market Data - EQ'!E270)/'Market Data - EQ'!E270,LN('Market Data - EQ'!E269/'Market Data - EQ'!E270)))</f>
        <v>1.6509389857622746E-2</v>
      </c>
      <c r="K269" s="3">
        <f>IF('Value at Risk'!$C$5=0,'Market Data - EQ'!F269-'Market Data - EQ'!F270,IF('Value at Risk'!$C$6=0,('Market Data - EQ'!F269-'Market Data - EQ'!F270)/'Market Data - EQ'!F270,LN('Market Data - EQ'!F269/'Market Data - EQ'!F270)))</f>
        <v>-9.1910119804962023E-3</v>
      </c>
      <c r="L269" s="8">
        <f t="shared" si="4"/>
        <v>3.9900191338533928E-3</v>
      </c>
    </row>
    <row r="270" spans="1:12" x14ac:dyDescent="0.25">
      <c r="A270" s="5">
        <v>43430</v>
      </c>
      <c r="B270" s="4">
        <v>1024.900024</v>
      </c>
      <c r="C270" s="4">
        <v>286.39999399999999</v>
      </c>
      <c r="D270" s="4">
        <v>356.35000600000001</v>
      </c>
      <c r="E270" s="4">
        <v>1562.75</v>
      </c>
      <c r="F270" s="4">
        <v>631.04998799999998</v>
      </c>
      <c r="G270" s="3">
        <f>IF('Value at Risk'!$C$5=0,'Market Data - EQ'!B270-'Market Data - EQ'!B271,IF('Value at Risk'!$C$6=0,('Market Data - EQ'!B270-'Market Data - EQ'!B271)/'Market Data - EQ'!B271,LN('Market Data - EQ'!B270/'Market Data - EQ'!B271)))</f>
        <v>2.2089278484168567E-2</v>
      </c>
      <c r="H270" s="3">
        <f>IF('Value at Risk'!$C$5=0,'Market Data - EQ'!C270-'Market Data - EQ'!C271,IF('Value at Risk'!$C$6=0,('Market Data - EQ'!C270-'Market Data - EQ'!C271)/'Market Data - EQ'!C271,LN('Market Data - EQ'!C270/'Market Data - EQ'!C271)))</f>
        <v>1.3088015008644489E-2</v>
      </c>
      <c r="I270" s="3">
        <f>IF('Value at Risk'!$C$5=0,'Market Data - EQ'!D270-'Market Data - EQ'!D271,IF('Value at Risk'!$C$6=0,('Market Data - EQ'!D270-'Market Data - EQ'!D271)/'Market Data - EQ'!D271,LN('Market Data - EQ'!D270/'Market Data - EQ'!D271)))</f>
        <v>1.2214225668429857E-2</v>
      </c>
      <c r="J270" s="3">
        <f>IF('Value at Risk'!$C$5=0,'Market Data - EQ'!E270-'Market Data - EQ'!E271,IF('Value at Risk'!$C$6=0,('Market Data - EQ'!E270-'Market Data - EQ'!E271)/'Market Data - EQ'!E271,LN('Market Data - EQ'!E270/'Market Data - EQ'!E271)))</f>
        <v>2.2173545169352857E-2</v>
      </c>
      <c r="K270" s="3">
        <f>IF('Value at Risk'!$C$5=0,'Market Data - EQ'!F270-'Market Data - EQ'!F271,IF('Value at Risk'!$C$6=0,('Market Data - EQ'!F270-'Market Data - EQ'!F271)/'Market Data - EQ'!F271,LN('Market Data - EQ'!F270/'Market Data - EQ'!F271)))</f>
        <v>2.6848914363659545E-2</v>
      </c>
      <c r="L270" s="8">
        <f t="shared" si="4"/>
        <v>1.9282795738851062E-2</v>
      </c>
    </row>
    <row r="271" spans="1:12" x14ac:dyDescent="0.25">
      <c r="A271" s="5">
        <v>43426</v>
      </c>
      <c r="B271" s="4">
        <v>1002.75</v>
      </c>
      <c r="C271" s="4">
        <v>282.70001200000002</v>
      </c>
      <c r="D271" s="4">
        <v>352.04998799999998</v>
      </c>
      <c r="E271" s="4">
        <v>1528.849976</v>
      </c>
      <c r="F271" s="4">
        <v>614.54998799999998</v>
      </c>
      <c r="G271" s="3">
        <f>IF('Value at Risk'!$C$5=0,'Market Data - EQ'!B271-'Market Data - EQ'!B272,IF('Value at Risk'!$C$6=0,('Market Data - EQ'!B271-'Market Data - EQ'!B272)/'Market Data - EQ'!B272,LN('Market Data - EQ'!B271/'Market Data - EQ'!B272)))</f>
        <v>-6.5683934367215674E-3</v>
      </c>
      <c r="H271" s="3">
        <f>IF('Value at Risk'!$C$5=0,'Market Data - EQ'!C271-'Market Data - EQ'!C272,IF('Value at Risk'!$C$6=0,('Market Data - EQ'!C271-'Market Data - EQ'!C272)/'Market Data - EQ'!C272,LN('Market Data - EQ'!C271/'Market Data - EQ'!C272)))</f>
        <v>-1.5154071352896103E-2</v>
      </c>
      <c r="I271" s="3">
        <f>IF('Value at Risk'!$C$5=0,'Market Data - EQ'!D271-'Market Data - EQ'!D272,IF('Value at Risk'!$C$6=0,('Market Data - EQ'!D271-'Market Data - EQ'!D272)/'Market Data - EQ'!D272,LN('Market Data - EQ'!D271/'Market Data - EQ'!D272)))</f>
        <v>-1.3174525578135992E-2</v>
      </c>
      <c r="J271" s="3">
        <f>IF('Value at Risk'!$C$5=0,'Market Data - EQ'!E271-'Market Data - EQ'!E272,IF('Value at Risk'!$C$6=0,('Market Data - EQ'!E271-'Market Data - EQ'!E272)/'Market Data - EQ'!E272,LN('Market Data - EQ'!E271/'Market Data - EQ'!E272)))</f>
        <v>-1.1540683756057147E-2</v>
      </c>
      <c r="K271" s="3">
        <f>IF('Value at Risk'!$C$5=0,'Market Data - EQ'!F271-'Market Data - EQ'!F272,IF('Value at Risk'!$C$6=0,('Market Data - EQ'!F271-'Market Data - EQ'!F272)/'Market Data - EQ'!F272,LN('Market Data - EQ'!F271/'Market Data - EQ'!F272)))</f>
        <v>-1.9621900727328074E-2</v>
      </c>
      <c r="L271" s="8">
        <f t="shared" si="4"/>
        <v>-1.3211914970227775E-2</v>
      </c>
    </row>
    <row r="272" spans="1:12" x14ac:dyDescent="0.25">
      <c r="A272" s="5">
        <v>43425</v>
      </c>
      <c r="B272" s="4">
        <v>1009.380005</v>
      </c>
      <c r="C272" s="4">
        <v>287.04998799999998</v>
      </c>
      <c r="D272" s="4">
        <v>356.75</v>
      </c>
      <c r="E272" s="4">
        <v>1546.6999510000001</v>
      </c>
      <c r="F272" s="4">
        <v>626.84997599999997</v>
      </c>
      <c r="G272" s="3">
        <f>IF('Value at Risk'!$C$5=0,'Market Data - EQ'!B272-'Market Data - EQ'!B273,IF('Value at Risk'!$C$6=0,('Market Data - EQ'!B272-'Market Data - EQ'!B273)/'Market Data - EQ'!B273,LN('Market Data - EQ'!B272/'Market Data - EQ'!B273)))</f>
        <v>3.1405001799551802E-3</v>
      </c>
      <c r="H272" s="3">
        <f>IF('Value at Risk'!$C$5=0,'Market Data - EQ'!C272-'Market Data - EQ'!C273,IF('Value at Risk'!$C$6=0,('Market Data - EQ'!C272-'Market Data - EQ'!C273)/'Market Data - EQ'!C273,LN('Market Data - EQ'!C272/'Market Data - EQ'!C273)))</f>
        <v>1.2700567463726088E-2</v>
      </c>
      <c r="I272" s="3">
        <f>IF('Value at Risk'!$C$5=0,'Market Data - EQ'!D272-'Market Data - EQ'!D273,IF('Value at Risk'!$C$6=0,('Market Data - EQ'!D272-'Market Data - EQ'!D273)/'Market Data - EQ'!D273,LN('Market Data - EQ'!D272/'Market Data - EQ'!D273)))</f>
        <v>-3.213171330760046E-3</v>
      </c>
      <c r="J272" s="3">
        <f>IF('Value at Risk'!$C$5=0,'Market Data - EQ'!E272-'Market Data - EQ'!E273,IF('Value at Risk'!$C$6=0,('Market Data - EQ'!E272-'Market Data - EQ'!E273)/'Market Data - EQ'!E273,LN('Market Data - EQ'!E272/'Market Data - EQ'!E273)))</f>
        <v>-7.1573162831951118E-3</v>
      </c>
      <c r="K272" s="3">
        <f>IF('Value at Risk'!$C$5=0,'Market Data - EQ'!F272-'Market Data - EQ'!F273,IF('Value at Risk'!$C$6=0,('Market Data - EQ'!F272-'Market Data - EQ'!F273)/'Market Data - EQ'!F273,LN('Market Data - EQ'!F272/'Market Data - EQ'!F273)))</f>
        <v>2.3177917969036003E-2</v>
      </c>
      <c r="L272" s="8">
        <f t="shared" si="4"/>
        <v>5.7296995997524235E-3</v>
      </c>
    </row>
    <row r="273" spans="1:12" x14ac:dyDescent="0.25">
      <c r="A273" s="5">
        <v>43424</v>
      </c>
      <c r="B273" s="4">
        <v>1006.219971</v>
      </c>
      <c r="C273" s="4">
        <v>283.45001200000002</v>
      </c>
      <c r="D273" s="4">
        <v>357.89999399999999</v>
      </c>
      <c r="E273" s="4">
        <v>1557.849976</v>
      </c>
      <c r="F273" s="4">
        <v>612.65002400000003</v>
      </c>
      <c r="G273" s="3">
        <f>IF('Value at Risk'!$C$5=0,'Market Data - EQ'!B273-'Market Data - EQ'!B274,IF('Value at Risk'!$C$6=0,('Market Data - EQ'!B273-'Market Data - EQ'!B274)/'Market Data - EQ'!B274,LN('Market Data - EQ'!B273/'Market Data - EQ'!B274)))</f>
        <v>-7.2500222583047984E-4</v>
      </c>
      <c r="H273" s="3">
        <f>IF('Value at Risk'!$C$5=0,'Market Data - EQ'!C273-'Market Data - EQ'!C274,IF('Value at Risk'!$C$6=0,('Market Data - EQ'!C273-'Market Data - EQ'!C274)/'Market Data - EQ'!C274,LN('Market Data - EQ'!C273/'Market Data - EQ'!C274)))</f>
        <v>-1.6310887030592747E-2</v>
      </c>
      <c r="I273" s="3">
        <f>IF('Value at Risk'!$C$5=0,'Market Data - EQ'!D273-'Market Data - EQ'!D274,IF('Value at Risk'!$C$6=0,('Market Data - EQ'!D273-'Market Data - EQ'!D274)/'Market Data - EQ'!D274,LN('Market Data - EQ'!D273/'Market Data - EQ'!D274)))</f>
        <v>-1.2417218748629449E-2</v>
      </c>
      <c r="J273" s="3">
        <f>IF('Value at Risk'!$C$5=0,'Market Data - EQ'!E273-'Market Data - EQ'!E274,IF('Value at Risk'!$C$6=0,('Market Data - EQ'!E273-'Market Data - EQ'!E274)/'Market Data - EQ'!E274,LN('Market Data - EQ'!E273/'Market Data - EQ'!E274)))</f>
        <v>1.2939318985679992E-2</v>
      </c>
      <c r="K273" s="3">
        <f>IF('Value at Risk'!$C$5=0,'Market Data - EQ'!F273-'Market Data - EQ'!F274,IF('Value at Risk'!$C$6=0,('Market Data - EQ'!F273-'Market Data - EQ'!F274)/'Market Data - EQ'!F274,LN('Market Data - EQ'!F273/'Market Data - EQ'!F274)))</f>
        <v>-5.9223820721540478E-3</v>
      </c>
      <c r="L273" s="8">
        <f t="shared" si="4"/>
        <v>-4.4872342183053448E-3</v>
      </c>
    </row>
    <row r="274" spans="1:12" x14ac:dyDescent="0.25">
      <c r="A274" s="5">
        <v>43423</v>
      </c>
      <c r="B274" s="4">
        <v>1006.950012</v>
      </c>
      <c r="C274" s="4">
        <v>288.14999399999999</v>
      </c>
      <c r="D274" s="4">
        <v>362.39999399999999</v>
      </c>
      <c r="E274" s="4">
        <v>1537.9499510000001</v>
      </c>
      <c r="F274" s="4">
        <v>616.29998799999998</v>
      </c>
      <c r="G274" s="3">
        <f>IF('Value at Risk'!$C$5=0,'Market Data - EQ'!B274-'Market Data - EQ'!B275,IF('Value at Risk'!$C$6=0,('Market Data - EQ'!B274-'Market Data - EQ'!B275)/'Market Data - EQ'!B275,LN('Market Data - EQ'!B274/'Market Data - EQ'!B275)))</f>
        <v>4.7896900514368341E-3</v>
      </c>
      <c r="H274" s="3">
        <f>IF('Value at Risk'!$C$5=0,'Market Data - EQ'!C274-'Market Data - EQ'!C275,IF('Value at Risk'!$C$6=0,('Market Data - EQ'!C274-'Market Data - EQ'!C275)/'Market Data - EQ'!C275,LN('Market Data - EQ'!C274/'Market Data - EQ'!C275)))</f>
        <v>-9.4534206143709991E-3</v>
      </c>
      <c r="I274" s="3">
        <f>IF('Value at Risk'!$C$5=0,'Market Data - EQ'!D274-'Market Data - EQ'!D275,IF('Value at Risk'!$C$6=0,('Market Data - EQ'!D274-'Market Data - EQ'!D275)/'Market Data - EQ'!D275,LN('Market Data - EQ'!D274/'Market Data - EQ'!D275)))</f>
        <v>-1.4011683221711852E-2</v>
      </c>
      <c r="J274" s="3">
        <f>IF('Value at Risk'!$C$5=0,'Market Data - EQ'!E274-'Market Data - EQ'!E275,IF('Value at Risk'!$C$6=0,('Market Data - EQ'!E274-'Market Data - EQ'!E275)/'Market Data - EQ'!E275,LN('Market Data - EQ'!E274/'Market Data - EQ'!E275)))</f>
        <v>2.4548648050874453E-2</v>
      </c>
      <c r="K274" s="3">
        <f>IF('Value at Risk'!$C$5=0,'Market Data - EQ'!F274-'Market Data - EQ'!F275,IF('Value at Risk'!$C$6=0,('Market Data - EQ'!F274-'Market Data - EQ'!F275)/'Market Data - EQ'!F275,LN('Market Data - EQ'!F274/'Market Data - EQ'!F275)))</f>
        <v>-5.6469830070406523E-3</v>
      </c>
      <c r="L274" s="8">
        <f t="shared" si="4"/>
        <v>4.525025183755686E-5</v>
      </c>
    </row>
    <row r="275" spans="1:12" x14ac:dyDescent="0.25">
      <c r="A275" s="5">
        <v>43420</v>
      </c>
      <c r="B275" s="4">
        <v>1002.150024</v>
      </c>
      <c r="C275" s="4">
        <v>290.89999399999999</v>
      </c>
      <c r="D275" s="4">
        <v>367.54998799999998</v>
      </c>
      <c r="E275" s="4">
        <v>1501.099976</v>
      </c>
      <c r="F275" s="4">
        <v>619.79998799999998</v>
      </c>
      <c r="G275" s="3">
        <f>IF('Value at Risk'!$C$5=0,'Market Data - EQ'!B275-'Market Data - EQ'!B276,IF('Value at Risk'!$C$6=0,('Market Data - EQ'!B275-'Market Data - EQ'!B276)/'Market Data - EQ'!B276,LN('Market Data - EQ'!B275/'Market Data - EQ'!B276)))</f>
        <v>1.4758384753461152E-2</v>
      </c>
      <c r="H275" s="3">
        <f>IF('Value at Risk'!$C$5=0,'Market Data - EQ'!C275-'Market Data - EQ'!C276,IF('Value at Risk'!$C$6=0,('Market Data - EQ'!C275-'Market Data - EQ'!C276)/'Market Data - EQ'!C276,LN('Market Data - EQ'!C275/'Market Data - EQ'!C276)))</f>
        <v>1.9271198723290795E-2</v>
      </c>
      <c r="I275" s="3">
        <f>IF('Value at Risk'!$C$5=0,'Market Data - EQ'!D275-'Market Data - EQ'!D276,IF('Value at Risk'!$C$6=0,('Market Data - EQ'!D275-'Market Data - EQ'!D276)/'Market Data - EQ'!D276,LN('Market Data - EQ'!D275/'Market Data - EQ'!D276)))</f>
        <v>-6.6216540540540948E-3</v>
      </c>
      <c r="J275" s="3">
        <f>IF('Value at Risk'!$C$5=0,'Market Data - EQ'!E275-'Market Data - EQ'!E276,IF('Value at Risk'!$C$6=0,('Market Data - EQ'!E275-'Market Data - EQ'!E276)/'Market Data - EQ'!E276,LN('Market Data - EQ'!E275/'Market Data - EQ'!E276)))</f>
        <v>-7.307507737076265E-3</v>
      </c>
      <c r="K275" s="3">
        <f>IF('Value at Risk'!$C$5=0,'Market Data - EQ'!F275-'Market Data - EQ'!F276,IF('Value at Risk'!$C$6=0,('Market Data - EQ'!F275-'Market Data - EQ'!F276)/'Market Data - EQ'!F276,LN('Market Data - EQ'!F275/'Market Data - EQ'!F276)))</f>
        <v>-1.0062271588395628E-2</v>
      </c>
      <c r="L275" s="8">
        <f t="shared" si="4"/>
        <v>2.0076300194451909E-3</v>
      </c>
    </row>
    <row r="276" spans="1:12" x14ac:dyDescent="0.25">
      <c r="A276" s="5">
        <v>43419</v>
      </c>
      <c r="B276" s="4">
        <v>987.57501200000002</v>
      </c>
      <c r="C276" s="4">
        <v>285.39999399999999</v>
      </c>
      <c r="D276" s="4">
        <v>370</v>
      </c>
      <c r="E276" s="4">
        <v>1512.150024</v>
      </c>
      <c r="F276" s="4">
        <v>626.09997599999997</v>
      </c>
      <c r="G276" s="3">
        <f>IF('Value at Risk'!$C$5=0,'Market Data - EQ'!B276-'Market Data - EQ'!B277,IF('Value at Risk'!$C$6=0,('Market Data - EQ'!B276-'Market Data - EQ'!B277)/'Market Data - EQ'!B277,LN('Market Data - EQ'!B276/'Market Data - EQ'!B277)))</f>
        <v>8.887766057974731E-3</v>
      </c>
      <c r="H276" s="3">
        <f>IF('Value at Risk'!$C$5=0,'Market Data - EQ'!C276-'Market Data - EQ'!C277,IF('Value at Risk'!$C$6=0,('Market Data - EQ'!C276-'Market Data - EQ'!C277)/'Market Data - EQ'!C277,LN('Market Data - EQ'!C276/'Market Data - EQ'!C277)))</f>
        <v>6.3469251125473697E-3</v>
      </c>
      <c r="I276" s="3">
        <f>IF('Value at Risk'!$C$5=0,'Market Data - EQ'!D276-'Market Data - EQ'!D277,IF('Value at Risk'!$C$6=0,('Market Data - EQ'!D276-'Market Data - EQ'!D277)/'Market Data - EQ'!D277,LN('Market Data - EQ'!D276/'Market Data - EQ'!D277)))</f>
        <v>9.2743970113300881E-3</v>
      </c>
      <c r="J276" s="3">
        <f>IF('Value at Risk'!$C$5=0,'Market Data - EQ'!E276-'Market Data - EQ'!E277,IF('Value at Risk'!$C$6=0,('Market Data - EQ'!E276-'Market Data - EQ'!E277)/'Market Data - EQ'!E277,LN('Market Data - EQ'!E276/'Market Data - EQ'!E277)))</f>
        <v>-9.2499418894334442E-4</v>
      </c>
      <c r="K276" s="3">
        <f>IF('Value at Risk'!$C$5=0,'Market Data - EQ'!F276-'Market Data - EQ'!F277,IF('Value at Risk'!$C$6=0,('Market Data - EQ'!F276-'Market Data - EQ'!F277)/'Market Data - EQ'!F277,LN('Market Data - EQ'!F276/'Market Data - EQ'!F277)))</f>
        <v>2.1870350477486124E-2</v>
      </c>
      <c r="L276" s="8">
        <f t="shared" si="4"/>
        <v>9.0908888940789932E-3</v>
      </c>
    </row>
    <row r="277" spans="1:12" x14ac:dyDescent="0.25">
      <c r="A277" s="5">
        <v>43418</v>
      </c>
      <c r="B277" s="4">
        <v>978.875</v>
      </c>
      <c r="C277" s="4">
        <v>283.60000600000001</v>
      </c>
      <c r="D277" s="4">
        <v>366.60000600000001</v>
      </c>
      <c r="E277" s="4">
        <v>1513.5500489999999</v>
      </c>
      <c r="F277" s="4">
        <v>612.70001200000002</v>
      </c>
      <c r="G277" s="3">
        <f>IF('Value at Risk'!$C$5=0,'Market Data - EQ'!B277-'Market Data - EQ'!B278,IF('Value at Risk'!$C$6=0,('Market Data - EQ'!B277-'Market Data - EQ'!B278)/'Market Data - EQ'!B278,LN('Market Data - EQ'!B277/'Market Data - EQ'!B278)))</f>
        <v>1.556218389313967E-2</v>
      </c>
      <c r="H277" s="3">
        <f>IF('Value at Risk'!$C$5=0,'Market Data - EQ'!C277-'Market Data - EQ'!C278,IF('Value at Risk'!$C$6=0,('Market Data - EQ'!C277-'Market Data - EQ'!C278)/'Market Data - EQ'!C278,LN('Market Data - EQ'!C277/'Market Data - EQ'!C278)))</f>
        <v>1.9960504368013218E-2</v>
      </c>
      <c r="I277" s="3">
        <f>IF('Value at Risk'!$C$5=0,'Market Data - EQ'!D277-'Market Data - EQ'!D278,IF('Value at Risk'!$C$6=0,('Market Data - EQ'!D277-'Market Data - EQ'!D278)/'Market Data - EQ'!D278,LN('Market Data - EQ'!D277/'Market Data - EQ'!D278)))</f>
        <v>1.5793882224337235E-2</v>
      </c>
      <c r="J277" s="3">
        <f>IF('Value at Risk'!$C$5=0,'Market Data - EQ'!E277-'Market Data - EQ'!E278,IF('Value at Risk'!$C$6=0,('Market Data - EQ'!E277-'Market Data - EQ'!E278)/'Market Data - EQ'!E278,LN('Market Data - EQ'!E277/'Market Data - EQ'!E278)))</f>
        <v>1.8848237404622104E-2</v>
      </c>
      <c r="K277" s="3">
        <f>IF('Value at Risk'!$C$5=0,'Market Data - EQ'!F277-'Market Data - EQ'!F278,IF('Value at Risk'!$C$6=0,('Market Data - EQ'!F277-'Market Data - EQ'!F278)/'Market Data - EQ'!F278,LN('Market Data - EQ'!F277/'Market Data - EQ'!F278)))</f>
        <v>-9.0570533861953906E-3</v>
      </c>
      <c r="L277" s="8">
        <f t="shared" si="4"/>
        <v>1.2221550900783367E-2</v>
      </c>
    </row>
    <row r="278" spans="1:12" x14ac:dyDescent="0.25">
      <c r="A278" s="5">
        <v>43417</v>
      </c>
      <c r="B278" s="4">
        <v>963.875</v>
      </c>
      <c r="C278" s="4">
        <v>278.04998799999998</v>
      </c>
      <c r="D278" s="4">
        <v>360.89999399999999</v>
      </c>
      <c r="E278" s="4">
        <v>1485.5500489999999</v>
      </c>
      <c r="F278" s="4">
        <v>618.29998799999998</v>
      </c>
      <c r="G278" s="3">
        <f>IF('Value at Risk'!$C$5=0,'Market Data - EQ'!B278-'Market Data - EQ'!B279,IF('Value at Risk'!$C$6=0,('Market Data - EQ'!B278-'Market Data - EQ'!B279)/'Market Data - EQ'!B279,LN('Market Data - EQ'!B278/'Market Data - EQ'!B279)))</f>
        <v>3.4876509370358366E-3</v>
      </c>
      <c r="H278" s="3">
        <f>IF('Value at Risk'!$C$5=0,'Market Data - EQ'!C278-'Market Data - EQ'!C279,IF('Value at Risk'!$C$6=0,('Market Data - EQ'!C278-'Market Data - EQ'!C279)/'Market Data - EQ'!C279,LN('Market Data - EQ'!C278/'Market Data - EQ'!C279)))</f>
        <v>3.5969057630394935E-4</v>
      </c>
      <c r="I278" s="3">
        <f>IF('Value at Risk'!$C$5=0,'Market Data - EQ'!D278-'Market Data - EQ'!D279,IF('Value at Risk'!$C$6=0,('Market Data - EQ'!D278-'Market Data - EQ'!D279)/'Market Data - EQ'!D279,LN('Market Data - EQ'!D278/'Market Data - EQ'!D279)))</f>
        <v>2.426561048504703E-2</v>
      </c>
      <c r="J278" s="3">
        <f>IF('Value at Risk'!$C$5=0,'Market Data - EQ'!E278-'Market Data - EQ'!E279,IF('Value at Risk'!$C$6=0,('Market Data - EQ'!E278-'Market Data - EQ'!E279)/'Market Data - EQ'!E279,LN('Market Data - EQ'!E278/'Market Data - EQ'!E279)))</f>
        <v>-4.9899202947086777E-3</v>
      </c>
      <c r="K278" s="3">
        <f>IF('Value at Risk'!$C$5=0,'Market Data - EQ'!F278-'Market Data - EQ'!F279,IF('Value at Risk'!$C$6=0,('Market Data - EQ'!F278-'Market Data - EQ'!F279)/'Market Data - EQ'!F279,LN('Market Data - EQ'!F278/'Market Data - EQ'!F279)))</f>
        <v>1.9371857608543881E-2</v>
      </c>
      <c r="L278" s="8">
        <f t="shared" si="4"/>
        <v>8.4989778624444037E-3</v>
      </c>
    </row>
    <row r="279" spans="1:12" x14ac:dyDescent="0.25">
      <c r="A279" s="5">
        <v>43416</v>
      </c>
      <c r="B279" s="4">
        <v>960.52502400000003</v>
      </c>
      <c r="C279" s="4">
        <v>277.95001200000002</v>
      </c>
      <c r="D279" s="4">
        <v>352.35000600000001</v>
      </c>
      <c r="E279" s="4">
        <v>1493</v>
      </c>
      <c r="F279" s="4">
        <v>606.54998799999998</v>
      </c>
      <c r="G279" s="3">
        <f>IF('Value at Risk'!$C$5=0,'Market Data - EQ'!B279-'Market Data - EQ'!B280,IF('Value at Risk'!$C$6=0,('Market Data - EQ'!B279-'Market Data - EQ'!B280)/'Market Data - EQ'!B280,LN('Market Data - EQ'!B279/'Market Data - EQ'!B280)))</f>
        <v>-1.2516693584660904E-2</v>
      </c>
      <c r="H279" s="3">
        <f>IF('Value at Risk'!$C$5=0,'Market Data - EQ'!C279-'Market Data - EQ'!C280,IF('Value at Risk'!$C$6=0,('Market Data - EQ'!C279-'Market Data - EQ'!C280)/'Market Data - EQ'!C280,LN('Market Data - EQ'!C279/'Market Data - EQ'!C280)))</f>
        <v>-1.8711343336275322E-2</v>
      </c>
      <c r="I279" s="3">
        <f>IF('Value at Risk'!$C$5=0,'Market Data - EQ'!D279-'Market Data - EQ'!D280,IF('Value at Risk'!$C$6=0,('Market Data - EQ'!D279-'Market Data - EQ'!D280)/'Market Data - EQ'!D280,LN('Market Data - EQ'!D279/'Market Data - EQ'!D280)))</f>
        <v>-1.2610340267165359E-2</v>
      </c>
      <c r="J279" s="3">
        <f>IF('Value at Risk'!$C$5=0,'Market Data - EQ'!E279-'Market Data - EQ'!E280,IF('Value at Risk'!$C$6=0,('Market Data - EQ'!E279-'Market Data - EQ'!E280)/'Market Data - EQ'!E280,LN('Market Data - EQ'!E279/'Market Data - EQ'!E280)))</f>
        <v>-1.2710040601350812E-3</v>
      </c>
      <c r="K279" s="3">
        <f>IF('Value at Risk'!$C$5=0,'Market Data - EQ'!F279-'Market Data - EQ'!F280,IF('Value at Risk'!$C$6=0,('Market Data - EQ'!F279-'Market Data - EQ'!F280)/'Market Data - EQ'!F280,LN('Market Data - EQ'!F279/'Market Data - EQ'!F280)))</f>
        <v>-1.0844787785164019E-2</v>
      </c>
      <c r="L279" s="8">
        <f t="shared" si="4"/>
        <v>-1.1190833806680137E-2</v>
      </c>
    </row>
    <row r="280" spans="1:12" x14ac:dyDescent="0.25">
      <c r="A280" s="5">
        <v>43413</v>
      </c>
      <c r="B280" s="4">
        <v>972.70001200000002</v>
      </c>
      <c r="C280" s="4">
        <v>283.25</v>
      </c>
      <c r="D280" s="4">
        <v>356.85000600000001</v>
      </c>
      <c r="E280" s="4">
        <v>1494.900024</v>
      </c>
      <c r="F280" s="4">
        <v>613.20001200000002</v>
      </c>
      <c r="G280" s="3">
        <f>IF('Value at Risk'!$C$5=0,'Market Data - EQ'!B280-'Market Data - EQ'!B281,IF('Value at Risk'!$C$6=0,('Market Data - EQ'!B280-'Market Data - EQ'!B281)/'Market Data - EQ'!B281,LN('Market Data - EQ'!B280/'Market Data - EQ'!B281)))</f>
        <v>-6.4097286997455948E-3</v>
      </c>
      <c r="H280" s="3">
        <f>IF('Value at Risk'!$C$5=0,'Market Data - EQ'!C280-'Market Data - EQ'!C281,IF('Value at Risk'!$C$6=0,('Market Data - EQ'!C280-'Market Data - EQ'!C281)/'Market Data - EQ'!C281,LN('Market Data - EQ'!C280/'Market Data - EQ'!C281)))</f>
        <v>-1.1516273384035127E-2</v>
      </c>
      <c r="I280" s="3">
        <f>IF('Value at Risk'!$C$5=0,'Market Data - EQ'!D280-'Market Data - EQ'!D281,IF('Value at Risk'!$C$6=0,('Market Data - EQ'!D280-'Market Data - EQ'!D281)/'Market Data - EQ'!D281,LN('Market Data - EQ'!D280/'Market Data - EQ'!D281)))</f>
        <v>2.6693228884966352E-3</v>
      </c>
      <c r="J280" s="3">
        <f>IF('Value at Risk'!$C$5=0,'Market Data - EQ'!E280-'Market Data - EQ'!E281,IF('Value at Risk'!$C$6=0,('Market Data - EQ'!E280-'Market Data - EQ'!E281)/'Market Data - EQ'!E281,LN('Market Data - EQ'!E280/'Market Data - EQ'!E281)))</f>
        <v>7.4128983233980993E-3</v>
      </c>
      <c r="K280" s="3">
        <f>IF('Value at Risk'!$C$5=0,'Market Data - EQ'!F280-'Market Data - EQ'!F281,IF('Value at Risk'!$C$6=0,('Market Data - EQ'!F280-'Market Data - EQ'!F281)/'Market Data - EQ'!F281,LN('Market Data - EQ'!F280/'Market Data - EQ'!F281)))</f>
        <v>1.0463930544837075E-2</v>
      </c>
      <c r="L280" s="8">
        <f t="shared" si="4"/>
        <v>5.2402993459021757E-4</v>
      </c>
    </row>
    <row r="281" spans="1:12" x14ac:dyDescent="0.25">
      <c r="A281" s="5">
        <v>43411</v>
      </c>
      <c r="B281" s="4">
        <v>978.97497599999997</v>
      </c>
      <c r="C281" s="4">
        <v>286.54998799999998</v>
      </c>
      <c r="D281" s="4">
        <v>355.89999399999999</v>
      </c>
      <c r="E281" s="4">
        <v>1483.900024</v>
      </c>
      <c r="F281" s="4">
        <v>606.84997599999997</v>
      </c>
      <c r="G281" s="3">
        <f>IF('Value at Risk'!$C$5=0,'Market Data - EQ'!B281-'Market Data - EQ'!B282,IF('Value at Risk'!$C$6=0,('Market Data - EQ'!B281-'Market Data - EQ'!B282)/'Market Data - EQ'!B282,LN('Market Data - EQ'!B281/'Market Data - EQ'!B282)))</f>
        <v>5.8564659109139319E-3</v>
      </c>
      <c r="H281" s="3">
        <f>IF('Value at Risk'!$C$5=0,'Market Data - EQ'!C281-'Market Data - EQ'!C282,IF('Value at Risk'!$C$6=0,('Market Data - EQ'!C281-'Market Data - EQ'!C282)/'Market Data - EQ'!C282,LN('Market Data - EQ'!C281/'Market Data - EQ'!C282)))</f>
        <v>3.4901726588152364E-4</v>
      </c>
      <c r="I281" s="3">
        <f>IF('Value at Risk'!$C$5=0,'Market Data - EQ'!D281-'Market Data - EQ'!D282,IF('Value at Risk'!$C$6=0,('Market Data - EQ'!D281-'Market Data - EQ'!D282)/'Market Data - EQ'!D282,LN('Market Data - EQ'!D281/'Market Data - EQ'!D282)))</f>
        <v>7.9297308196590189E-3</v>
      </c>
      <c r="J281" s="3">
        <f>IF('Value at Risk'!$C$5=0,'Market Data - EQ'!E281-'Market Data - EQ'!E282,IF('Value at Risk'!$C$6=0,('Market Data - EQ'!E281-'Market Data - EQ'!E282)/'Market Data - EQ'!E282,LN('Market Data - EQ'!E281/'Market Data - EQ'!E282)))</f>
        <v>5.7271159853798216E-3</v>
      </c>
      <c r="K281" s="3">
        <f>IF('Value at Risk'!$C$5=0,'Market Data - EQ'!F281-'Market Data - EQ'!F282,IF('Value at Risk'!$C$6=0,('Market Data - EQ'!F281-'Market Data - EQ'!F282)/'Market Data - EQ'!F282,LN('Market Data - EQ'!F281/'Market Data - EQ'!F282)))</f>
        <v>-9.8779486072352821E-4</v>
      </c>
      <c r="L281" s="8">
        <f t="shared" si="4"/>
        <v>3.7749070242221539E-3</v>
      </c>
    </row>
    <row r="282" spans="1:12" x14ac:dyDescent="0.25">
      <c r="A282" s="5">
        <v>43410</v>
      </c>
      <c r="B282" s="4">
        <v>973.27502400000003</v>
      </c>
      <c r="C282" s="4">
        <v>286.45001200000002</v>
      </c>
      <c r="D282" s="4">
        <v>353.10000600000001</v>
      </c>
      <c r="E282" s="4">
        <v>1475.4499510000001</v>
      </c>
      <c r="F282" s="4">
        <v>607.45001200000002</v>
      </c>
      <c r="G282" s="3">
        <f>IF('Value at Risk'!$C$5=0,'Market Data - EQ'!B282-'Market Data - EQ'!B283,IF('Value at Risk'!$C$6=0,('Market Data - EQ'!B282-'Market Data - EQ'!B283)/'Market Data - EQ'!B283,LN('Market Data - EQ'!B282/'Market Data - EQ'!B283)))</f>
        <v>-4.8312638036809505E-3</v>
      </c>
      <c r="H282" s="3">
        <f>IF('Value at Risk'!$C$5=0,'Market Data - EQ'!C282-'Market Data - EQ'!C283,IF('Value at Risk'!$C$6=0,('Market Data - EQ'!C282-'Market Data - EQ'!C283)/'Market Data - EQ'!C283,LN('Market Data - EQ'!C282/'Market Data - EQ'!C283)))</f>
        <v>-2.8818442631560224E-2</v>
      </c>
      <c r="I282" s="3">
        <f>IF('Value at Risk'!$C$5=0,'Market Data - EQ'!D282-'Market Data - EQ'!D283,IF('Value at Risk'!$C$6=0,('Market Data - EQ'!D282-'Market Data - EQ'!D283)/'Market Data - EQ'!D283,LN('Market Data - EQ'!D282/'Market Data - EQ'!D283)))</f>
        <v>9.8670443563628803E-3</v>
      </c>
      <c r="J282" s="3">
        <f>IF('Value at Risk'!$C$5=0,'Market Data - EQ'!E282-'Market Data - EQ'!E283,IF('Value at Risk'!$C$6=0,('Market Data - EQ'!E282-'Market Data - EQ'!E283)/'Market Data - EQ'!E283,LN('Market Data - EQ'!E282/'Market Data - EQ'!E283)))</f>
        <v>-7.4001818847649848E-3</v>
      </c>
      <c r="K282" s="3">
        <f>IF('Value at Risk'!$C$5=0,'Market Data - EQ'!F282-'Market Data - EQ'!F283,IF('Value at Risk'!$C$6=0,('Market Data - EQ'!F282-'Market Data - EQ'!F283)/'Market Data - EQ'!F283,LN('Market Data - EQ'!F282/'Market Data - EQ'!F283)))</f>
        <v>-2.7146078392847748E-2</v>
      </c>
      <c r="L282" s="8">
        <f t="shared" si="4"/>
        <v>-1.1665784471298206E-2</v>
      </c>
    </row>
    <row r="283" spans="1:12" x14ac:dyDescent="0.25">
      <c r="A283" s="5">
        <v>43409</v>
      </c>
      <c r="B283" s="4">
        <v>978</v>
      </c>
      <c r="C283" s="4">
        <v>294.95001200000002</v>
      </c>
      <c r="D283" s="4">
        <v>349.64999399999999</v>
      </c>
      <c r="E283" s="4">
        <v>1486.4499510000001</v>
      </c>
      <c r="F283" s="4">
        <v>624.40002400000003</v>
      </c>
      <c r="G283" s="3">
        <f>IF('Value at Risk'!$C$5=0,'Market Data - EQ'!B283-'Market Data - EQ'!B284,IF('Value at Risk'!$C$6=0,('Market Data - EQ'!B283-'Market Data - EQ'!B284)/'Market Data - EQ'!B284,LN('Market Data - EQ'!B283/'Market Data - EQ'!B284)))</f>
        <v>3.3599467343494341E-3</v>
      </c>
      <c r="H283" s="3">
        <f>IF('Value at Risk'!$C$5=0,'Market Data - EQ'!C283-'Market Data - EQ'!C284,IF('Value at Risk'!$C$6=0,('Market Data - EQ'!C283-'Market Data - EQ'!C284)/'Market Data - EQ'!C284,LN('Market Data - EQ'!C283/'Market Data - EQ'!C284)))</f>
        <v>3.3642915010136734E-2</v>
      </c>
      <c r="I283" s="3">
        <f>IF('Value at Risk'!$C$5=0,'Market Data - EQ'!D283-'Market Data - EQ'!D284,IF('Value at Risk'!$C$6=0,('Market Data - EQ'!D283-'Market Data - EQ'!D284)/'Market Data - EQ'!D284,LN('Market Data - EQ'!D283/'Market Data - EQ'!D284)))</f>
        <v>-1.3542157814907967E-2</v>
      </c>
      <c r="J283" s="3">
        <f>IF('Value at Risk'!$C$5=0,'Market Data - EQ'!E283-'Market Data - EQ'!E284,IF('Value at Risk'!$C$6=0,('Market Data - EQ'!E283-'Market Data - EQ'!E284)/'Market Data - EQ'!E284,LN('Market Data - EQ'!E283/'Market Data - EQ'!E284)))</f>
        <v>-3.5899660293758295E-2</v>
      </c>
      <c r="K283" s="3">
        <f>IF('Value at Risk'!$C$5=0,'Market Data - EQ'!F283-'Market Data - EQ'!F284,IF('Value at Risk'!$C$6=0,('Market Data - EQ'!F283-'Market Data - EQ'!F284)/'Market Data - EQ'!F284,LN('Market Data - EQ'!F283/'Market Data - EQ'!F284)))</f>
        <v>2.2516989207553031E-2</v>
      </c>
      <c r="L283" s="8">
        <f t="shared" si="4"/>
        <v>2.0156065686745871E-3</v>
      </c>
    </row>
    <row r="284" spans="1:12" x14ac:dyDescent="0.25">
      <c r="A284" s="5">
        <v>43406</v>
      </c>
      <c r="B284" s="4">
        <v>974.72497599999997</v>
      </c>
      <c r="C284" s="4">
        <v>285.35000600000001</v>
      </c>
      <c r="D284" s="4">
        <v>354.45001200000002</v>
      </c>
      <c r="E284" s="4">
        <v>1541.8000489999999</v>
      </c>
      <c r="F284" s="4">
        <v>610.65002400000003</v>
      </c>
      <c r="G284" s="3">
        <f>IF('Value at Risk'!$C$5=0,'Market Data - EQ'!B284-'Market Data - EQ'!B285,IF('Value at Risk'!$C$6=0,('Market Data - EQ'!B284-'Market Data - EQ'!B285)/'Market Data - EQ'!B285,LN('Market Data - EQ'!B284/'Market Data - EQ'!B285)))</f>
        <v>1.9480180386491297E-2</v>
      </c>
      <c r="H284" s="3">
        <f>IF('Value at Risk'!$C$5=0,'Market Data - EQ'!C284-'Market Data - EQ'!C285,IF('Value at Risk'!$C$6=0,('Market Data - EQ'!C284-'Market Data - EQ'!C285)/'Market Data - EQ'!C285,LN('Market Data - EQ'!C284/'Market Data - EQ'!C285)))</f>
        <v>-1.9237076304380225E-3</v>
      </c>
      <c r="I284" s="3">
        <f>IF('Value at Risk'!$C$5=0,'Market Data - EQ'!D284-'Market Data - EQ'!D285,IF('Value at Risk'!$C$6=0,('Market Data - EQ'!D284-'Market Data - EQ'!D285)/'Market Data - EQ'!D285,LN('Market Data - EQ'!D284/'Market Data - EQ'!D285)))</f>
        <v>2.1204409797984398E-3</v>
      </c>
      <c r="J284" s="3">
        <f>IF('Value at Risk'!$C$5=0,'Market Data - EQ'!E284-'Market Data - EQ'!E285,IF('Value at Risk'!$C$6=0,('Market Data - EQ'!E284-'Market Data - EQ'!E285)/'Market Data - EQ'!E285,LN('Market Data - EQ'!E284/'Market Data - EQ'!E285)))</f>
        <v>5.3178114420388327E-2</v>
      </c>
      <c r="K284" s="3">
        <f>IF('Value at Risk'!$C$5=0,'Market Data - EQ'!F284-'Market Data - EQ'!F285,IF('Value at Risk'!$C$6=0,('Market Data - EQ'!F284-'Market Data - EQ'!F285)/'Market Data - EQ'!F285,LN('Market Data - EQ'!F284/'Market Data - EQ'!F285)))</f>
        <v>1.4116083469590627E-2</v>
      </c>
      <c r="L284" s="8">
        <f t="shared" si="4"/>
        <v>1.7394222325166134E-2</v>
      </c>
    </row>
    <row r="285" spans="1:12" x14ac:dyDescent="0.25">
      <c r="A285" s="5">
        <v>43405</v>
      </c>
      <c r="B285" s="4">
        <v>956.09997599999997</v>
      </c>
      <c r="C285" s="4">
        <v>285.89999399999999</v>
      </c>
      <c r="D285" s="4">
        <v>353.70001200000002</v>
      </c>
      <c r="E285" s="4">
        <v>1463.9499510000001</v>
      </c>
      <c r="F285" s="4">
        <v>602.15002400000003</v>
      </c>
      <c r="G285" s="3">
        <f>IF('Value at Risk'!$C$5=0,'Market Data - EQ'!B285-'Market Data - EQ'!B286,IF('Value at Risk'!$C$6=0,('Market Data - EQ'!B285-'Market Data - EQ'!B286)/'Market Data - EQ'!B286,LN('Market Data - EQ'!B285/'Market Data - EQ'!B286)))</f>
        <v>2.3536131816395412E-4</v>
      </c>
      <c r="H285" s="3">
        <f>IF('Value at Risk'!$C$5=0,'Market Data - EQ'!C285-'Market Data - EQ'!C286,IF('Value at Risk'!$C$6=0,('Market Data - EQ'!C285-'Market Data - EQ'!C286)/'Market Data - EQ'!C286,LN('Market Data - EQ'!C285/'Market Data - EQ'!C286)))</f>
        <v>1.5991471556321357E-2</v>
      </c>
      <c r="I285" s="3">
        <f>IF('Value at Risk'!$C$5=0,'Market Data - EQ'!D285-'Market Data - EQ'!D286,IF('Value at Risk'!$C$6=0,('Market Data - EQ'!D285-'Market Data - EQ'!D286)/'Market Data - EQ'!D286,LN('Market Data - EQ'!D285/'Market Data - EQ'!D286)))</f>
        <v>-3.6619380281689715E-3</v>
      </c>
      <c r="J285" s="3">
        <f>IF('Value at Risk'!$C$5=0,'Market Data - EQ'!E285-'Market Data - EQ'!E286,IF('Value at Risk'!$C$6=0,('Market Data - EQ'!E285-'Market Data - EQ'!E286)/'Market Data - EQ'!E286,LN('Market Data - EQ'!E285/'Market Data - EQ'!E286)))</f>
        <v>2.7261227741400291E-2</v>
      </c>
      <c r="K285" s="3">
        <f>IF('Value at Risk'!$C$5=0,'Market Data - EQ'!F285-'Market Data - EQ'!F286,IF('Value at Risk'!$C$6=0,('Market Data - EQ'!F285-'Market Data - EQ'!F286)/'Market Data - EQ'!F286,LN('Market Data - EQ'!F285/'Market Data - EQ'!F286)))</f>
        <v>3.3911399701453307E-2</v>
      </c>
      <c r="L285" s="8">
        <f t="shared" si="4"/>
        <v>1.4747504457833988E-2</v>
      </c>
    </row>
    <row r="286" spans="1:12" x14ac:dyDescent="0.25">
      <c r="A286" s="5">
        <v>43404</v>
      </c>
      <c r="B286" s="4">
        <v>955.875</v>
      </c>
      <c r="C286" s="4">
        <v>281.39999399999999</v>
      </c>
      <c r="D286" s="4">
        <v>355</v>
      </c>
      <c r="E286" s="4">
        <v>1425.099976</v>
      </c>
      <c r="F286" s="4">
        <v>582.40002400000003</v>
      </c>
      <c r="G286" s="3">
        <f>IF('Value at Risk'!$C$5=0,'Market Data - EQ'!B286-'Market Data - EQ'!B287,IF('Value at Risk'!$C$6=0,('Market Data - EQ'!B286-'Market Data - EQ'!B287)/'Market Data - EQ'!B287,LN('Market Data - EQ'!B286/'Market Data - EQ'!B287)))</f>
        <v>-5.2280747614690893E-4</v>
      </c>
      <c r="H286" s="3">
        <f>IF('Value at Risk'!$C$5=0,'Market Data - EQ'!C286-'Market Data - EQ'!C287,IF('Value at Risk'!$C$6=0,('Market Data - EQ'!C286-'Market Data - EQ'!C287)/'Market Data - EQ'!C287,LN('Market Data - EQ'!C286/'Market Data - EQ'!C287)))</f>
        <v>3.0203185726593865E-2</v>
      </c>
      <c r="I286" s="3">
        <f>IF('Value at Risk'!$C$5=0,'Market Data - EQ'!D286-'Market Data - EQ'!D287,IF('Value at Risk'!$C$6=0,('Market Data - EQ'!D286-'Market Data - EQ'!D287)/'Market Data - EQ'!D287,LN('Market Data - EQ'!D286/'Market Data - EQ'!D287)))</f>
        <v>2.6901902450613698E-2</v>
      </c>
      <c r="J286" s="3">
        <f>IF('Value at Risk'!$C$5=0,'Market Data - EQ'!E286-'Market Data - EQ'!E287,IF('Value at Risk'!$C$6=0,('Market Data - EQ'!E286-'Market Data - EQ'!E287)/'Market Data - EQ'!E287,LN('Market Data - EQ'!E286/'Market Data - EQ'!E287)))</f>
        <v>4.456492326930938E-2</v>
      </c>
      <c r="K286" s="3">
        <f>IF('Value at Risk'!$C$5=0,'Market Data - EQ'!F286-'Market Data - EQ'!F287,IF('Value at Risk'!$C$6=0,('Market Data - EQ'!F286-'Market Data - EQ'!F287)/'Market Data - EQ'!F287,LN('Market Data - EQ'!F286/'Market Data - EQ'!F287)))</f>
        <v>3.5009794881610941E-2</v>
      </c>
      <c r="L286" s="8">
        <f t="shared" si="4"/>
        <v>2.7231399770396191E-2</v>
      </c>
    </row>
    <row r="287" spans="1:12" x14ac:dyDescent="0.25">
      <c r="A287" s="5">
        <v>43403</v>
      </c>
      <c r="B287" s="4">
        <v>956.375</v>
      </c>
      <c r="C287" s="4">
        <v>273.14999399999999</v>
      </c>
      <c r="D287" s="4">
        <v>345.70001200000002</v>
      </c>
      <c r="E287" s="4">
        <v>1364.3000489999999</v>
      </c>
      <c r="F287" s="4">
        <v>562.70001200000002</v>
      </c>
      <c r="G287" s="3">
        <f>IF('Value at Risk'!$C$5=0,'Market Data - EQ'!B287-'Market Data - EQ'!B288,IF('Value at Risk'!$C$6=0,('Market Data - EQ'!B287-'Market Data - EQ'!B288)/'Market Data - EQ'!B288,LN('Market Data - EQ'!B287/'Market Data - EQ'!B288)))</f>
        <v>-7.0342354058852523E-3</v>
      </c>
      <c r="H287" s="3">
        <f>IF('Value at Risk'!$C$5=0,'Market Data - EQ'!C287-'Market Data - EQ'!C288,IF('Value at Risk'!$C$6=0,('Market Data - EQ'!C287-'Market Data - EQ'!C288)/'Market Data - EQ'!C288,LN('Market Data - EQ'!C287/'Market Data - EQ'!C288)))</f>
        <v>1.9596864940579283E-2</v>
      </c>
      <c r="I287" s="3">
        <f>IF('Value at Risk'!$C$5=0,'Market Data - EQ'!D287-'Market Data - EQ'!D288,IF('Value at Risk'!$C$6=0,('Market Data - EQ'!D287-'Market Data - EQ'!D288)/'Market Data - EQ'!D288,LN('Market Data - EQ'!D287/'Market Data - EQ'!D288)))</f>
        <v>-1.0589530805773217E-2</v>
      </c>
      <c r="J287" s="3">
        <f>IF('Value at Risk'!$C$5=0,'Market Data - EQ'!E287-'Market Data - EQ'!E288,IF('Value at Risk'!$C$6=0,('Market Data - EQ'!E287-'Market Data - EQ'!E288)/'Market Data - EQ'!E288,LN('Market Data - EQ'!E287/'Market Data - EQ'!E288)))</f>
        <v>-3.4328990881851248E-2</v>
      </c>
      <c r="K287" s="3">
        <f>IF('Value at Risk'!$C$5=0,'Market Data - EQ'!F287-'Market Data - EQ'!F288,IF('Value at Risk'!$C$6=0,('Market Data - EQ'!F287-'Market Data - EQ'!F288)/'Market Data - EQ'!F288,LN('Market Data - EQ'!F287/'Market Data - EQ'!F288)))</f>
        <v>-7.0584081794584468E-3</v>
      </c>
      <c r="L287" s="8">
        <f t="shared" si="4"/>
        <v>-7.8828600664777766E-3</v>
      </c>
    </row>
    <row r="288" spans="1:12" x14ac:dyDescent="0.25">
      <c r="A288" s="5">
        <v>43402</v>
      </c>
      <c r="B288" s="4">
        <v>963.15002400000003</v>
      </c>
      <c r="C288" s="4">
        <v>267.89999399999999</v>
      </c>
      <c r="D288" s="4">
        <v>349.39999399999999</v>
      </c>
      <c r="E288" s="4">
        <v>1412.8000489999999</v>
      </c>
      <c r="F288" s="4">
        <v>566.70001200000002</v>
      </c>
      <c r="G288" s="3">
        <f>IF('Value at Risk'!$C$5=0,'Market Data - EQ'!B288-'Market Data - EQ'!B289,IF('Value at Risk'!$C$6=0,('Market Data - EQ'!B288-'Market Data - EQ'!B289)/'Market Data - EQ'!B289,LN('Market Data - EQ'!B288/'Market Data - EQ'!B289)))</f>
        <v>-1.7795178897699607E-2</v>
      </c>
      <c r="H288" s="3">
        <f>IF('Value at Risk'!$C$5=0,'Market Data - EQ'!C288-'Market Data - EQ'!C289,IF('Value at Risk'!$C$6=0,('Market Data - EQ'!C288-'Market Data - EQ'!C289)/'Market Data - EQ'!C289,LN('Market Data - EQ'!C288/'Market Data - EQ'!C289)))</f>
        <v>7.9806479327533694E-2</v>
      </c>
      <c r="I288" s="3">
        <f>IF('Value at Risk'!$C$5=0,'Market Data - EQ'!D288-'Market Data - EQ'!D289,IF('Value at Risk'!$C$6=0,('Market Data - EQ'!D288-'Market Data - EQ'!D289)/'Market Data - EQ'!D289,LN('Market Data - EQ'!D288/'Market Data - EQ'!D289)))</f>
        <v>0.10692222601467878</v>
      </c>
      <c r="J288" s="3">
        <f>IF('Value at Risk'!$C$5=0,'Market Data - EQ'!E288-'Market Data - EQ'!E289,IF('Value at Risk'!$C$6=0,('Market Data - EQ'!E288-'Market Data - EQ'!E289)/'Market Data - EQ'!E289,LN('Market Data - EQ'!E288/'Market Data - EQ'!E289)))</f>
        <v>-2.2824732937880819E-2</v>
      </c>
      <c r="K288" s="3">
        <f>IF('Value at Risk'!$C$5=0,'Market Data - EQ'!F288-'Market Data - EQ'!F289,IF('Value at Risk'!$C$6=0,('Market Data - EQ'!F288-'Market Data - EQ'!F289)/'Market Data - EQ'!F289,LN('Market Data - EQ'!F288/'Market Data - EQ'!F289)))</f>
        <v>5.3933418919097961E-2</v>
      </c>
      <c r="L288" s="8">
        <f t="shared" si="4"/>
        <v>4.0008442485145998E-2</v>
      </c>
    </row>
    <row r="289" spans="1:12" x14ac:dyDescent="0.25">
      <c r="A289" s="5">
        <v>43399</v>
      </c>
      <c r="B289" s="4">
        <v>980.59997599999997</v>
      </c>
      <c r="C289" s="4">
        <v>248.10000600000001</v>
      </c>
      <c r="D289" s="4">
        <v>315.64999399999999</v>
      </c>
      <c r="E289" s="4">
        <v>1445.8000489999999</v>
      </c>
      <c r="F289" s="4">
        <v>537.70001200000002</v>
      </c>
      <c r="G289" s="3">
        <f>IF('Value at Risk'!$C$5=0,'Market Data - EQ'!B289-'Market Data - EQ'!B290,IF('Value at Risk'!$C$6=0,('Market Data - EQ'!B289-'Market Data - EQ'!B290)/'Market Data - EQ'!B290,LN('Market Data - EQ'!B289/'Market Data - EQ'!B290)))</f>
        <v>-3.8602680895506161E-3</v>
      </c>
      <c r="H289" s="3">
        <f>IF('Value at Risk'!$C$5=0,'Market Data - EQ'!C289-'Market Data - EQ'!C290,IF('Value at Risk'!$C$6=0,('Market Data - EQ'!C289-'Market Data - EQ'!C290)/'Market Data - EQ'!C290,LN('Market Data - EQ'!C289/'Market Data - EQ'!C290)))</f>
        <v>-5.8104467343965379E-3</v>
      </c>
      <c r="I289" s="3">
        <f>IF('Value at Risk'!$C$5=0,'Market Data - EQ'!D289-'Market Data - EQ'!D290,IF('Value at Risk'!$C$6=0,('Market Data - EQ'!D289-'Market Data - EQ'!D290)/'Market Data - EQ'!D290,LN('Market Data - EQ'!D289/'Market Data - EQ'!D290)))</f>
        <v>-1.3439655692214891E-2</v>
      </c>
      <c r="J289" s="3">
        <f>IF('Value at Risk'!$C$5=0,'Market Data - EQ'!E289-'Market Data - EQ'!E290,IF('Value at Risk'!$C$6=0,('Market Data - EQ'!E289-'Market Data - EQ'!E290)/'Market Data - EQ'!E290,LN('Market Data - EQ'!E289/'Market Data - EQ'!E290)))</f>
        <v>-3.0380207718546718E-2</v>
      </c>
      <c r="K289" s="3">
        <f>IF('Value at Risk'!$C$5=0,'Market Data - EQ'!F289-'Market Data - EQ'!F290,IF('Value at Risk'!$C$6=0,('Market Data - EQ'!F289-'Market Data - EQ'!F290)/'Market Data - EQ'!F290,LN('Market Data - EQ'!F289/'Market Data - EQ'!F290)))</f>
        <v>-4.1618352195740484E-2</v>
      </c>
      <c r="L289" s="8">
        <f t="shared" si="4"/>
        <v>-1.9021786086089849E-2</v>
      </c>
    </row>
    <row r="290" spans="1:12" x14ac:dyDescent="0.25">
      <c r="A290" s="5">
        <v>43398</v>
      </c>
      <c r="B290" s="4">
        <v>984.40002400000003</v>
      </c>
      <c r="C290" s="4">
        <v>249.550003</v>
      </c>
      <c r="D290" s="4">
        <v>319.95001200000002</v>
      </c>
      <c r="E290" s="4">
        <v>1491.099976</v>
      </c>
      <c r="F290" s="4">
        <v>561.04998799999998</v>
      </c>
      <c r="G290" s="3">
        <f>IF('Value at Risk'!$C$5=0,'Market Data - EQ'!B290-'Market Data - EQ'!B291,IF('Value at Risk'!$C$6=0,('Market Data - EQ'!B290-'Market Data - EQ'!B291)/'Market Data - EQ'!B291,LN('Market Data - EQ'!B290/'Market Data - EQ'!B291)))</f>
        <v>-1.1770587024720763E-2</v>
      </c>
      <c r="H290" s="3">
        <f>IF('Value at Risk'!$C$5=0,'Market Data - EQ'!C290-'Market Data - EQ'!C291,IF('Value at Risk'!$C$6=0,('Market Data - EQ'!C290-'Market Data - EQ'!C291)/'Market Data - EQ'!C291,LN('Market Data - EQ'!C290/'Market Data - EQ'!C291)))</f>
        <v>-2.405159981288538E-2</v>
      </c>
      <c r="I290" s="3">
        <f>IF('Value at Risk'!$C$5=0,'Market Data - EQ'!D290-'Market Data - EQ'!D291,IF('Value at Risk'!$C$6=0,('Market Data - EQ'!D290-'Market Data - EQ'!D291)/'Market Data - EQ'!D291,LN('Market Data - EQ'!D290/'Market Data - EQ'!D291)))</f>
        <v>-6.3664223602483997E-3</v>
      </c>
      <c r="J290" s="3">
        <f>IF('Value at Risk'!$C$5=0,'Market Data - EQ'!E290-'Market Data - EQ'!E291,IF('Value at Risk'!$C$6=0,('Market Data - EQ'!E290-'Market Data - EQ'!E291)/'Market Data - EQ'!E291,LN('Market Data - EQ'!E290/'Market Data - EQ'!E291)))</f>
        <v>-1.9883656277127387E-2</v>
      </c>
      <c r="K290" s="3">
        <f>IF('Value at Risk'!$C$5=0,'Market Data - EQ'!F290-'Market Data - EQ'!F291,IF('Value at Risk'!$C$6=0,('Market Data - EQ'!F290-'Market Data - EQ'!F291)/'Market Data - EQ'!F291,LN('Market Data - EQ'!F290/'Market Data - EQ'!F291)))</f>
        <v>-5.4068217155889137E-3</v>
      </c>
      <c r="L290" s="8">
        <f t="shared" si="4"/>
        <v>-1.3495817438114168E-2</v>
      </c>
    </row>
    <row r="291" spans="1:12" x14ac:dyDescent="0.25">
      <c r="A291" s="5">
        <v>43397</v>
      </c>
      <c r="B291" s="4">
        <v>996.125</v>
      </c>
      <c r="C291" s="4">
        <v>255.699997</v>
      </c>
      <c r="D291" s="4">
        <v>322</v>
      </c>
      <c r="E291" s="4">
        <v>1521.349976</v>
      </c>
      <c r="F291" s="4">
        <v>564.09997599999997</v>
      </c>
      <c r="G291" s="3">
        <f>IF('Value at Risk'!$C$5=0,'Market Data - EQ'!B291-'Market Data - EQ'!B292,IF('Value at Risk'!$C$6=0,('Market Data - EQ'!B291-'Market Data - EQ'!B292)/'Market Data - EQ'!B292,LN('Market Data - EQ'!B291/'Market Data - EQ'!B292)))</f>
        <v>3.7282535654977033E-3</v>
      </c>
      <c r="H291" s="3">
        <f>IF('Value at Risk'!$C$5=0,'Market Data - EQ'!C291-'Market Data - EQ'!C292,IF('Value at Risk'!$C$6=0,('Market Data - EQ'!C291-'Market Data - EQ'!C292)/'Market Data - EQ'!C292,LN('Market Data - EQ'!C291/'Market Data - EQ'!C292)))</f>
        <v>1.9559163377099001E-4</v>
      </c>
      <c r="I291" s="3">
        <f>IF('Value at Risk'!$C$5=0,'Market Data - EQ'!D291-'Market Data - EQ'!D292,IF('Value at Risk'!$C$6=0,('Market Data - EQ'!D291-'Market Data - EQ'!D292)/'Market Data - EQ'!D292,LN('Market Data - EQ'!D291/'Market Data - EQ'!D292)))</f>
        <v>-2.6328201462074855E-3</v>
      </c>
      <c r="J291" s="3">
        <f>IF('Value at Risk'!$C$5=0,'Market Data - EQ'!E291-'Market Data - EQ'!E292,IF('Value at Risk'!$C$6=0,('Market Data - EQ'!E291-'Market Data - EQ'!E292)/'Market Data - EQ'!E292,LN('Market Data - EQ'!E291/'Market Data - EQ'!E292)))</f>
        <v>3.2718970379625054E-2</v>
      </c>
      <c r="K291" s="3">
        <f>IF('Value at Risk'!$C$5=0,'Market Data - EQ'!F291-'Market Data - EQ'!F292,IF('Value at Risk'!$C$6=0,('Market Data - EQ'!F291-'Market Data - EQ'!F292)/'Market Data - EQ'!F292,LN('Market Data - EQ'!F291/'Market Data - EQ'!F292)))</f>
        <v>2.3988911594846197E-3</v>
      </c>
      <c r="L291" s="8">
        <f t="shared" si="4"/>
        <v>7.2817773184341763E-3</v>
      </c>
    </row>
    <row r="292" spans="1:12" x14ac:dyDescent="0.25">
      <c r="A292" s="5">
        <v>43396</v>
      </c>
      <c r="B292" s="4">
        <v>992.42498799999998</v>
      </c>
      <c r="C292" s="4">
        <v>255.64999399999999</v>
      </c>
      <c r="D292" s="4">
        <v>322.85000600000001</v>
      </c>
      <c r="E292" s="4">
        <v>1473.150024</v>
      </c>
      <c r="F292" s="4">
        <v>562.75</v>
      </c>
      <c r="G292" s="3">
        <f>IF('Value at Risk'!$C$5=0,'Market Data - EQ'!B292-'Market Data - EQ'!B293,IF('Value at Risk'!$C$6=0,('Market Data - EQ'!B292-'Market Data - EQ'!B293)/'Market Data - EQ'!B293,LN('Market Data - EQ'!B292/'Market Data - EQ'!B293)))</f>
        <v>-7.0288898050461278E-3</v>
      </c>
      <c r="H292" s="3">
        <f>IF('Value at Risk'!$C$5=0,'Market Data - EQ'!C292-'Market Data - EQ'!C293,IF('Value at Risk'!$C$6=0,('Market Data - EQ'!C292-'Market Data - EQ'!C293)/'Market Data - EQ'!C293,LN('Market Data - EQ'!C292/'Market Data - EQ'!C293)))</f>
        <v>-1.8052667146856202E-2</v>
      </c>
      <c r="I292" s="3">
        <f>IF('Value at Risk'!$C$5=0,'Market Data - EQ'!D292-'Market Data - EQ'!D293,IF('Value at Risk'!$C$6=0,('Market Data - EQ'!D292-'Market Data - EQ'!D293)/'Market Data - EQ'!D293,LN('Market Data - EQ'!D292/'Market Data - EQ'!D293)))</f>
        <v>-1.2992968272828464E-2</v>
      </c>
      <c r="J292" s="3">
        <f>IF('Value at Risk'!$C$5=0,'Market Data - EQ'!E292-'Market Data - EQ'!E293,IF('Value at Risk'!$C$6=0,('Market Data - EQ'!E292-'Market Data - EQ'!E293)/'Market Data - EQ'!E293,LN('Market Data - EQ'!E292/'Market Data - EQ'!E293)))</f>
        <v>1.6351080617615595E-2</v>
      </c>
      <c r="K292" s="3">
        <f>IF('Value at Risk'!$C$5=0,'Market Data - EQ'!F292-'Market Data - EQ'!F293,IF('Value at Risk'!$C$6=0,('Market Data - EQ'!F292-'Market Data - EQ'!F293)/'Market Data - EQ'!F293,LN('Market Data - EQ'!F292/'Market Data - EQ'!F293)))</f>
        <v>1.245462174086934E-3</v>
      </c>
      <c r="L292" s="8">
        <f t="shared" si="4"/>
        <v>-4.0955964866056533E-3</v>
      </c>
    </row>
    <row r="293" spans="1:12" x14ac:dyDescent="0.25">
      <c r="A293" s="5">
        <v>43395</v>
      </c>
      <c r="B293" s="4">
        <v>999.45001200000002</v>
      </c>
      <c r="C293" s="4">
        <v>260.35000600000001</v>
      </c>
      <c r="D293" s="4">
        <v>327.10000600000001</v>
      </c>
      <c r="E293" s="4">
        <v>1449.4499510000001</v>
      </c>
      <c r="F293" s="4">
        <v>562.04998799999998</v>
      </c>
      <c r="G293" s="3">
        <f>IF('Value at Risk'!$C$5=0,'Market Data - EQ'!B293-'Market Data - EQ'!B294,IF('Value at Risk'!$C$6=0,('Market Data - EQ'!B293-'Market Data - EQ'!B294)/'Market Data - EQ'!B294,LN('Market Data - EQ'!B293/'Market Data - EQ'!B294)))</f>
        <v>1.5830275187396787E-2</v>
      </c>
      <c r="H293" s="3">
        <f>IF('Value at Risk'!$C$5=0,'Market Data - EQ'!C293-'Market Data - EQ'!C294,IF('Value at Risk'!$C$6=0,('Market Data - EQ'!C293-'Market Data - EQ'!C294)/'Market Data - EQ'!C294,LN('Market Data - EQ'!C293/'Market Data - EQ'!C294)))</f>
        <v>-2.8724625919771137E-3</v>
      </c>
      <c r="I293" s="3">
        <f>IF('Value at Risk'!$C$5=0,'Market Data - EQ'!D293-'Market Data - EQ'!D294,IF('Value at Risk'!$C$6=0,('Market Data - EQ'!D293-'Market Data - EQ'!D294)/'Market Data - EQ'!D294,LN('Market Data - EQ'!D293/'Market Data - EQ'!D294)))</f>
        <v>3.6931347461796868E-2</v>
      </c>
      <c r="J293" s="3">
        <f>IF('Value at Risk'!$C$5=0,'Market Data - EQ'!E293-'Market Data - EQ'!E294,IF('Value at Risk'!$C$6=0,('Market Data - EQ'!E293-'Market Data - EQ'!E294)/'Market Data - EQ'!E294,LN('Market Data - EQ'!E293/'Market Data - EQ'!E294)))</f>
        <v>-8.0706541481968999E-2</v>
      </c>
      <c r="K293" s="3">
        <f>IF('Value at Risk'!$C$5=0,'Market Data - EQ'!F293-'Market Data - EQ'!F294,IF('Value at Risk'!$C$6=0,('Market Data - EQ'!F293-'Market Data - EQ'!F294)/'Market Data - EQ'!F294,LN('Market Data - EQ'!F293/'Market Data - EQ'!F294)))</f>
        <v>-8.8880990252549787E-4</v>
      </c>
      <c r="L293" s="8">
        <f t="shared" si="4"/>
        <v>-6.3412382654555914E-3</v>
      </c>
    </row>
    <row r="294" spans="1:12" x14ac:dyDescent="0.25">
      <c r="A294" s="5">
        <v>43392</v>
      </c>
      <c r="B294" s="4">
        <v>983.875</v>
      </c>
      <c r="C294" s="4">
        <v>261.10000600000001</v>
      </c>
      <c r="D294" s="4">
        <v>315.45001200000002</v>
      </c>
      <c r="E294" s="4">
        <v>1576.6999510000001</v>
      </c>
      <c r="F294" s="4">
        <v>562.54998799999998</v>
      </c>
      <c r="G294" s="3">
        <f>IF('Value at Risk'!$C$5=0,'Market Data - EQ'!B294-'Market Data - EQ'!B295,IF('Value at Risk'!$C$6=0,('Market Data - EQ'!B294-'Market Data - EQ'!B295)/'Market Data - EQ'!B295,LN('Market Data - EQ'!B294/'Market Data - EQ'!B295)))</f>
        <v>-3.4690449120110644E-3</v>
      </c>
      <c r="H294" s="3">
        <f>IF('Value at Risk'!$C$5=0,'Market Data - EQ'!C294-'Market Data - EQ'!C295,IF('Value at Risk'!$C$6=0,('Market Data - EQ'!C294-'Market Data - EQ'!C295)/'Market Data - EQ'!C295,LN('Market Data - EQ'!C294/'Market Data - EQ'!C295)))</f>
        <v>-1.9141490005159572E-4</v>
      </c>
      <c r="I294" s="3">
        <f>IF('Value at Risk'!$C$5=0,'Market Data - EQ'!D294-'Market Data - EQ'!D295,IF('Value at Risk'!$C$6=0,('Market Data - EQ'!D294-'Market Data - EQ'!D295)/'Market Data - EQ'!D295,LN('Market Data - EQ'!D294/'Market Data - EQ'!D295)))</f>
        <v>2.0648793671492463E-3</v>
      </c>
      <c r="J294" s="3">
        <f>IF('Value at Risk'!$C$5=0,'Market Data - EQ'!E294-'Market Data - EQ'!E295,IF('Value at Risk'!$C$6=0,('Market Data - EQ'!E294-'Market Data - EQ'!E295)/'Market Data - EQ'!E295,LN('Market Data - EQ'!E294/'Market Data - EQ'!E295)))</f>
        <v>-1.6958708518605255E-2</v>
      </c>
      <c r="K294" s="3">
        <f>IF('Value at Risk'!$C$5=0,'Market Data - EQ'!F294-'Market Data - EQ'!F295,IF('Value at Risk'!$C$6=0,('Market Data - EQ'!F294-'Market Data - EQ'!F295)/'Market Data - EQ'!F295,LN('Market Data - EQ'!F294/'Market Data - EQ'!F295)))</f>
        <v>-2.3435466159579192E-2</v>
      </c>
      <c r="L294" s="8">
        <f t="shared" si="4"/>
        <v>-8.3979510246195727E-3</v>
      </c>
    </row>
    <row r="295" spans="1:12" x14ac:dyDescent="0.25">
      <c r="A295" s="5">
        <v>43390</v>
      </c>
      <c r="B295" s="4">
        <v>987.29998799999998</v>
      </c>
      <c r="C295" s="4">
        <v>261.14999399999999</v>
      </c>
      <c r="D295" s="4">
        <v>314.79998799999998</v>
      </c>
      <c r="E295" s="4">
        <v>1603.900024</v>
      </c>
      <c r="F295" s="4">
        <v>576.04998799999998</v>
      </c>
      <c r="G295" s="3">
        <f>IF('Value at Risk'!$C$5=0,'Market Data - EQ'!B295-'Market Data - EQ'!B296,IF('Value at Risk'!$C$6=0,('Market Data - EQ'!B295-'Market Data - EQ'!B296)/'Market Data - EQ'!B296,LN('Market Data - EQ'!B295/'Market Data - EQ'!B296)))</f>
        <v>-9.1080286036883864E-3</v>
      </c>
      <c r="H295" s="3">
        <f>IF('Value at Risk'!$C$5=0,'Market Data - EQ'!C295-'Market Data - EQ'!C296,IF('Value at Risk'!$C$6=0,('Market Data - EQ'!C295-'Market Data - EQ'!C296)/'Market Data - EQ'!C296,LN('Market Data - EQ'!C295/'Market Data - EQ'!C296)))</f>
        <v>-3.3851255664872591E-2</v>
      </c>
      <c r="I295" s="3">
        <f>IF('Value at Risk'!$C$5=0,'Market Data - EQ'!D295-'Market Data - EQ'!D296,IF('Value at Risk'!$C$6=0,('Market Data - EQ'!D295-'Market Data - EQ'!D296)/'Market Data - EQ'!D296,LN('Market Data - EQ'!D295/'Market Data - EQ'!D296)))</f>
        <v>-1.8244210539420772E-2</v>
      </c>
      <c r="J295" s="3">
        <f>IF('Value at Risk'!$C$5=0,'Market Data - EQ'!E295-'Market Data - EQ'!E296,IF('Value at Risk'!$C$6=0,('Market Data - EQ'!E295-'Market Data - EQ'!E296)/'Market Data - EQ'!E296,LN('Market Data - EQ'!E295/'Market Data - EQ'!E296)))</f>
        <v>-1.0274304709240062E-2</v>
      </c>
      <c r="K295" s="3">
        <f>IF('Value at Risk'!$C$5=0,'Market Data - EQ'!F295-'Market Data - EQ'!F296,IF('Value at Risk'!$C$6=0,('Market Data - EQ'!F295-'Market Data - EQ'!F296)/'Market Data - EQ'!F296,LN('Market Data - EQ'!F295/'Market Data - EQ'!F296)))</f>
        <v>-2.1737265044908461E-2</v>
      </c>
      <c r="L295" s="8">
        <f t="shared" si="4"/>
        <v>-1.8643012912426055E-2</v>
      </c>
    </row>
    <row r="296" spans="1:12" x14ac:dyDescent="0.25">
      <c r="A296" s="5">
        <v>43389</v>
      </c>
      <c r="B296" s="4">
        <v>996.375</v>
      </c>
      <c r="C296" s="4">
        <v>270.29998799999998</v>
      </c>
      <c r="D296" s="4">
        <v>320.64999399999999</v>
      </c>
      <c r="E296" s="4">
        <v>1620.5500489999999</v>
      </c>
      <c r="F296" s="4">
        <v>588.84997599999997</v>
      </c>
      <c r="G296" s="3">
        <f>IF('Value at Risk'!$C$5=0,'Market Data - EQ'!B296-'Market Data - EQ'!B297,IF('Value at Risk'!$C$6=0,('Market Data - EQ'!B296-'Market Data - EQ'!B297)/'Market Data - EQ'!B297,LN('Market Data - EQ'!B296/'Market Data - EQ'!B297)))</f>
        <v>-7.6243028384562518E-3</v>
      </c>
      <c r="H296" s="3">
        <f>IF('Value at Risk'!$C$5=0,'Market Data - EQ'!C296-'Market Data - EQ'!C297,IF('Value at Risk'!$C$6=0,('Market Data - EQ'!C296-'Market Data - EQ'!C297)/'Market Data - EQ'!C297,LN('Market Data - EQ'!C296/'Market Data - EQ'!C297)))</f>
        <v>2.6975591475276867E-2</v>
      </c>
      <c r="I296" s="3">
        <f>IF('Value at Risk'!$C$5=0,'Market Data - EQ'!D296-'Market Data - EQ'!D297,IF('Value at Risk'!$C$6=0,('Market Data - EQ'!D296-'Market Data - EQ'!D297)/'Market Data - EQ'!D297,LN('Market Data - EQ'!D296/'Market Data - EQ'!D297)))</f>
        <v>2.3296594415894108E-2</v>
      </c>
      <c r="J296" s="3">
        <f>IF('Value at Risk'!$C$5=0,'Market Data - EQ'!E296-'Market Data - EQ'!E297,IF('Value at Risk'!$C$6=0,('Market Data - EQ'!E296-'Market Data - EQ'!E297)/'Market Data - EQ'!E297,LN('Market Data - EQ'!E296/'Market Data - EQ'!E297)))</f>
        <v>-3.9336809322661889E-3</v>
      </c>
      <c r="K296" s="3">
        <f>IF('Value at Risk'!$C$5=0,'Market Data - EQ'!F296-'Market Data - EQ'!F297,IF('Value at Risk'!$C$6=0,('Market Data - EQ'!F296-'Market Data - EQ'!F297)/'Market Data - EQ'!F297,LN('Market Data - EQ'!F296/'Market Data - EQ'!F297)))</f>
        <v>2.1333775485222948E-2</v>
      </c>
      <c r="L296" s="8">
        <f t="shared" si="4"/>
        <v>1.2009595521134295E-2</v>
      </c>
    </row>
    <row r="297" spans="1:12" x14ac:dyDescent="0.25">
      <c r="A297" s="5">
        <v>43388</v>
      </c>
      <c r="B297" s="4">
        <v>1004.030029</v>
      </c>
      <c r="C297" s="4">
        <v>263.20001200000002</v>
      </c>
      <c r="D297" s="4">
        <v>313.35000600000001</v>
      </c>
      <c r="E297" s="4">
        <v>1626.9499510000001</v>
      </c>
      <c r="F297" s="4">
        <v>576.54998799999998</v>
      </c>
      <c r="G297" s="3">
        <f>IF('Value at Risk'!$C$5=0,'Market Data - EQ'!B297-'Market Data - EQ'!B298,IF('Value at Risk'!$C$6=0,('Market Data - EQ'!B297-'Market Data - EQ'!B298)/'Market Data - EQ'!B298,LN('Market Data - EQ'!B297/'Market Data - EQ'!B298)))</f>
        <v>1.3225058565179738E-2</v>
      </c>
      <c r="H297" s="3">
        <f>IF('Value at Risk'!$C$5=0,'Market Data - EQ'!C297-'Market Data - EQ'!C298,IF('Value at Risk'!$C$6=0,('Market Data - EQ'!C297-'Market Data - EQ'!C298)/'Market Data - EQ'!C298,LN('Market Data - EQ'!C297/'Market Data - EQ'!C298)))</f>
        <v>-2.0852625592416487E-3</v>
      </c>
      <c r="I297" s="3">
        <f>IF('Value at Risk'!$C$5=0,'Market Data - EQ'!D297-'Market Data - EQ'!D298,IF('Value at Risk'!$C$6=0,('Market Data - EQ'!D297-'Market Data - EQ'!D298)/'Market Data - EQ'!D298,LN('Market Data - EQ'!D297/'Market Data - EQ'!D298)))</f>
        <v>-1.8941728596275381E-2</v>
      </c>
      <c r="J297" s="3">
        <f>IF('Value at Risk'!$C$5=0,'Market Data - EQ'!E297-'Market Data - EQ'!E298,IF('Value at Risk'!$C$6=0,('Market Data - EQ'!E297-'Market Data - EQ'!E298)/'Market Data - EQ'!E298,LN('Market Data - EQ'!E297/'Market Data - EQ'!E298)))</f>
        <v>-1.5580565597778007E-2</v>
      </c>
      <c r="K297" s="3">
        <f>IF('Value at Risk'!$C$5=0,'Market Data - EQ'!F297-'Market Data - EQ'!F298,IF('Value at Risk'!$C$6=0,('Market Data - EQ'!F297-'Market Data - EQ'!F298)/'Market Data - EQ'!F298,LN('Market Data - EQ'!F297/'Market Data - EQ'!F298)))</f>
        <v>-1.4276005569115936E-2</v>
      </c>
      <c r="L297" s="8">
        <f t="shared" si="4"/>
        <v>-7.5317007514462461E-3</v>
      </c>
    </row>
    <row r="298" spans="1:12" x14ac:dyDescent="0.25">
      <c r="A298" s="5">
        <v>43385</v>
      </c>
      <c r="B298" s="4">
        <v>990.92498799999998</v>
      </c>
      <c r="C298" s="4">
        <v>263.75</v>
      </c>
      <c r="D298" s="4">
        <v>319.39999399999999</v>
      </c>
      <c r="E298" s="4">
        <v>1652.6999510000001</v>
      </c>
      <c r="F298" s="4">
        <v>584.90002400000003</v>
      </c>
      <c r="G298" s="3">
        <f>IF('Value at Risk'!$C$5=0,'Market Data - EQ'!B298-'Market Data - EQ'!B299,IF('Value at Risk'!$C$6=0,('Market Data - EQ'!B298-'Market Data - EQ'!B299)/'Market Data - EQ'!B299,LN('Market Data - EQ'!B298/'Market Data - EQ'!B299)))</f>
        <v>2.2863888365478705E-2</v>
      </c>
      <c r="H298" s="3">
        <f>IF('Value at Risk'!$C$5=0,'Market Data - EQ'!C298-'Market Data - EQ'!C299,IF('Value at Risk'!$C$6=0,('Market Data - EQ'!C298-'Market Data - EQ'!C299)/'Market Data - EQ'!C299,LN('Market Data - EQ'!C298/'Market Data - EQ'!C299)))</f>
        <v>6.1033989571634617E-3</v>
      </c>
      <c r="I298" s="3">
        <f>IF('Value at Risk'!$C$5=0,'Market Data - EQ'!D298-'Market Data - EQ'!D299,IF('Value at Risk'!$C$6=0,('Market Data - EQ'!D298-'Market Data - EQ'!D299)/'Market Data - EQ'!D299,LN('Market Data - EQ'!D298/'Market Data - EQ'!D299)))</f>
        <v>2.4703181596284242E-2</v>
      </c>
      <c r="J298" s="3">
        <f>IF('Value at Risk'!$C$5=0,'Market Data - EQ'!E298-'Market Data - EQ'!E299,IF('Value at Risk'!$C$6=0,('Market Data - EQ'!E298-'Market Data - EQ'!E299)/'Market Data - EQ'!E299,LN('Market Data - EQ'!E298/'Market Data - EQ'!E299)))</f>
        <v>3.7769552070134098E-2</v>
      </c>
      <c r="K298" s="3">
        <f>IF('Value at Risk'!$C$5=0,'Market Data - EQ'!F298-'Market Data - EQ'!F299,IF('Value at Risk'!$C$6=0,('Market Data - EQ'!F298-'Market Data - EQ'!F299)/'Market Data - EQ'!F299,LN('Market Data - EQ'!F298/'Market Data - EQ'!F299)))</f>
        <v>6.9726231683619128E-3</v>
      </c>
      <c r="L298" s="8">
        <f t="shared" si="4"/>
        <v>1.9682528831484487E-2</v>
      </c>
    </row>
    <row r="299" spans="1:12" x14ac:dyDescent="0.25">
      <c r="A299" s="5">
        <v>43384</v>
      </c>
      <c r="B299" s="4">
        <v>968.77502400000003</v>
      </c>
      <c r="C299" s="4">
        <v>262.14999399999999</v>
      </c>
      <c r="D299" s="4">
        <v>311.70001200000002</v>
      </c>
      <c r="E299" s="4">
        <v>1592.5500489999999</v>
      </c>
      <c r="F299" s="4">
        <v>580.84997599999997</v>
      </c>
      <c r="G299" s="3">
        <f>IF('Value at Risk'!$C$5=0,'Market Data - EQ'!B299-'Market Data - EQ'!B300,IF('Value at Risk'!$C$6=0,('Market Data - EQ'!B299-'Market Data - EQ'!B300)/'Market Data - EQ'!B300,LN('Market Data - EQ'!B299/'Market Data - EQ'!B300)))</f>
        <v>-1.5047137045405119E-2</v>
      </c>
      <c r="H299" s="3">
        <f>IF('Value at Risk'!$C$5=0,'Market Data - EQ'!C299-'Market Data - EQ'!C300,IF('Value at Risk'!$C$6=0,('Market Data - EQ'!C299-'Market Data - EQ'!C300)/'Market Data - EQ'!C300,LN('Market Data - EQ'!C299/'Market Data - EQ'!C300)))</f>
        <v>-5.9214069102043479E-2</v>
      </c>
      <c r="I299" s="3">
        <f>IF('Value at Risk'!$C$5=0,'Market Data - EQ'!D299-'Market Data - EQ'!D300,IF('Value at Risk'!$C$6=0,('Market Data - EQ'!D299-'Market Data - EQ'!D300)/'Market Data - EQ'!D300,LN('Market Data - EQ'!D299/'Market Data - EQ'!D300)))</f>
        <v>-2.5480674838567901E-2</v>
      </c>
      <c r="J299" s="3">
        <f>IF('Value at Risk'!$C$5=0,'Market Data - EQ'!E299-'Market Data - EQ'!E300,IF('Value at Risk'!$C$6=0,('Market Data - EQ'!E299-'Market Data - EQ'!E300)/'Market Data - EQ'!E300,LN('Market Data - EQ'!E299/'Market Data - EQ'!E300)))</f>
        <v>-2.7717514794809571E-2</v>
      </c>
      <c r="K299" s="3">
        <f>IF('Value at Risk'!$C$5=0,'Market Data - EQ'!F299-'Market Data - EQ'!F300,IF('Value at Risk'!$C$6=0,('Market Data - EQ'!F299-'Market Data - EQ'!F300)/'Market Data - EQ'!F300,LN('Market Data - EQ'!F299/'Market Data - EQ'!F300)))</f>
        <v>-1.4171819127525824E-2</v>
      </c>
      <c r="L299" s="8">
        <f t="shared" si="4"/>
        <v>-2.8326242981670378E-2</v>
      </c>
    </row>
    <row r="300" spans="1:12" x14ac:dyDescent="0.25">
      <c r="A300" s="5">
        <v>43383</v>
      </c>
      <c r="B300" s="4">
        <v>983.57501200000002</v>
      </c>
      <c r="C300" s="4">
        <v>278.64999399999999</v>
      </c>
      <c r="D300" s="4">
        <v>319.85000600000001</v>
      </c>
      <c r="E300" s="4">
        <v>1637.9499510000001</v>
      </c>
      <c r="F300" s="4">
        <v>589.20001200000002</v>
      </c>
      <c r="G300" s="3">
        <f>IF('Value at Risk'!$C$5=0,'Market Data - EQ'!B300-'Market Data - EQ'!B301,IF('Value at Risk'!$C$6=0,('Market Data - EQ'!B300-'Market Data - EQ'!B301)/'Market Data - EQ'!B301,LN('Market Data - EQ'!B300/'Market Data - EQ'!B301)))</f>
        <v>1.3681360573200409E-2</v>
      </c>
      <c r="H300" s="3">
        <f>IF('Value at Risk'!$C$5=0,'Market Data - EQ'!C300-'Market Data - EQ'!C301,IF('Value at Risk'!$C$6=0,('Market Data - EQ'!C300-'Market Data - EQ'!C301)/'Market Data - EQ'!C301,LN('Market Data - EQ'!C300/'Market Data - EQ'!C301)))</f>
        <v>5.9707097484368914E-2</v>
      </c>
      <c r="I300" s="3">
        <f>IF('Value at Risk'!$C$5=0,'Market Data - EQ'!D300-'Market Data - EQ'!D301,IF('Value at Risk'!$C$6=0,('Market Data - EQ'!D300-'Market Data - EQ'!D301)/'Market Data - EQ'!D301,LN('Market Data - EQ'!D300/'Market Data - EQ'!D301)))</f>
        <v>4.4408182857142882E-2</v>
      </c>
      <c r="J300" s="3">
        <f>IF('Value at Risk'!$C$5=0,'Market Data - EQ'!E300-'Market Data - EQ'!E301,IF('Value at Risk'!$C$6=0,('Market Data - EQ'!E300-'Market Data - EQ'!E301)/'Market Data - EQ'!E301,LN('Market Data - EQ'!E300/'Market Data - EQ'!E301)))</f>
        <v>1.8688927515060492E-2</v>
      </c>
      <c r="K300" s="3">
        <f>IF('Value at Risk'!$C$5=0,'Market Data - EQ'!F300-'Market Data - EQ'!F301,IF('Value at Risk'!$C$6=0,('Market Data - EQ'!F300-'Market Data - EQ'!F301)/'Market Data - EQ'!F301,LN('Market Data - EQ'!F300/'Market Data - EQ'!F301)))</f>
        <v>6.5750271462433868E-2</v>
      </c>
      <c r="L300" s="8">
        <f t="shared" si="4"/>
        <v>4.0447167978441313E-2</v>
      </c>
    </row>
    <row r="301" spans="1:12" x14ac:dyDescent="0.25">
      <c r="A301" s="5">
        <v>43382</v>
      </c>
      <c r="B301" s="4">
        <v>970.29998799999998</v>
      </c>
      <c r="C301" s="4">
        <v>262.95001200000002</v>
      </c>
      <c r="D301" s="4">
        <v>306.25</v>
      </c>
      <c r="E301" s="4">
        <v>1607.900024</v>
      </c>
      <c r="F301" s="4">
        <v>552.84997599999997</v>
      </c>
      <c r="G301" s="3">
        <f>IF('Value at Risk'!$C$5=0,'Market Data - EQ'!B301-'Market Data - EQ'!B302,IF('Value at Risk'!$C$6=0,('Market Data - EQ'!B301-'Market Data - EQ'!B302)/'Market Data - EQ'!B302,LN('Market Data - EQ'!B301/'Market Data - EQ'!B302)))</f>
        <v>-2.2622231362468023E-3</v>
      </c>
      <c r="H301" s="3">
        <f>IF('Value at Risk'!$C$5=0,'Market Data - EQ'!C301-'Market Data - EQ'!C302,IF('Value at Risk'!$C$6=0,('Market Data - EQ'!C301-'Market Data - EQ'!C302)/'Market Data - EQ'!C302,LN('Market Data - EQ'!C301/'Market Data - EQ'!C302)))</f>
        <v>-1.0536173095014053E-2</v>
      </c>
      <c r="I301" s="3">
        <f>IF('Value at Risk'!$C$5=0,'Market Data - EQ'!D301-'Market Data - EQ'!D302,IF('Value at Risk'!$C$6=0,('Market Data - EQ'!D301-'Market Data - EQ'!D302)/'Market Data - EQ'!D302,LN('Market Data - EQ'!D301/'Market Data - EQ'!D302)))</f>
        <v>-1.479815316458449E-2</v>
      </c>
      <c r="J301" s="3">
        <f>IF('Value at Risk'!$C$5=0,'Market Data - EQ'!E301-'Market Data - EQ'!E302,IF('Value at Risk'!$C$6=0,('Market Data - EQ'!E301-'Market Data - EQ'!E302)/'Market Data - EQ'!E302,LN('Market Data - EQ'!E301/'Market Data - EQ'!E302)))</f>
        <v>4.937515000000019E-3</v>
      </c>
      <c r="K301" s="3">
        <f>IF('Value at Risk'!$C$5=0,'Market Data - EQ'!F301-'Market Data - EQ'!F302,IF('Value at Risk'!$C$6=0,('Market Data - EQ'!F301-'Market Data - EQ'!F302)/'Market Data - EQ'!F302,LN('Market Data - EQ'!F301/'Market Data - EQ'!F302)))</f>
        <v>-6.6481216059248484E-3</v>
      </c>
      <c r="L301" s="8">
        <f t="shared" si="4"/>
        <v>-5.8614312003540357E-3</v>
      </c>
    </row>
    <row r="302" spans="1:12" x14ac:dyDescent="0.25">
      <c r="A302" s="5">
        <v>43381</v>
      </c>
      <c r="B302" s="4">
        <v>972.5</v>
      </c>
      <c r="C302" s="4">
        <v>265.75</v>
      </c>
      <c r="D302" s="4">
        <v>310.85000600000001</v>
      </c>
      <c r="E302" s="4">
        <v>1600</v>
      </c>
      <c r="F302" s="4">
        <v>556.54998799999998</v>
      </c>
      <c r="G302" s="3">
        <f>IF('Value at Risk'!$C$5=0,'Market Data - EQ'!B302-'Market Data - EQ'!B303,IF('Value at Risk'!$C$6=0,('Market Data - EQ'!B302-'Market Data - EQ'!B303)/'Market Data - EQ'!B303,LN('Market Data - EQ'!B302/'Market Data - EQ'!B303)))</f>
        <v>-1.0329235996640072E-2</v>
      </c>
      <c r="H302" s="3">
        <f>IF('Value at Risk'!$C$5=0,'Market Data - EQ'!C302-'Market Data - EQ'!C303,IF('Value at Risk'!$C$6=0,('Market Data - EQ'!C302-'Market Data - EQ'!C303)/'Market Data - EQ'!C303,LN('Market Data - EQ'!C302/'Market Data - EQ'!C303)))</f>
        <v>2.8643289445094856E-2</v>
      </c>
      <c r="I302" s="3">
        <f>IF('Value at Risk'!$C$5=0,'Market Data - EQ'!D302-'Market Data - EQ'!D303,IF('Value at Risk'!$C$6=0,('Market Data - EQ'!D302-'Market Data - EQ'!D303)/'Market Data - EQ'!D303,LN('Market Data - EQ'!D302/'Market Data - EQ'!D303)))</f>
        <v>1.1552288117889621E-2</v>
      </c>
      <c r="J302" s="3">
        <f>IF('Value at Risk'!$C$5=0,'Market Data - EQ'!E302-'Market Data - EQ'!E303,IF('Value at Risk'!$C$6=0,('Market Data - EQ'!E302-'Market Data - EQ'!E303)/'Market Data - EQ'!E303,LN('Market Data - EQ'!E302/'Market Data - EQ'!E303)))</f>
        <v>-4.5727290943139128E-3</v>
      </c>
      <c r="K302" s="3">
        <f>IF('Value at Risk'!$C$5=0,'Market Data - EQ'!F302-'Market Data - EQ'!F303,IF('Value at Risk'!$C$6=0,('Market Data - EQ'!F302-'Market Data - EQ'!F303)/'Market Data - EQ'!F303,LN('Market Data - EQ'!F302/'Market Data - EQ'!F303)))</f>
        <v>-2.1020249780123158E-2</v>
      </c>
      <c r="L302" s="8">
        <f t="shared" si="4"/>
        <v>8.5467253838146723E-4</v>
      </c>
    </row>
    <row r="303" spans="1:12" x14ac:dyDescent="0.25">
      <c r="A303" s="5">
        <v>43378</v>
      </c>
      <c r="B303" s="4">
        <v>982.65002400000003</v>
      </c>
      <c r="C303" s="4">
        <v>258.35000600000001</v>
      </c>
      <c r="D303" s="4">
        <v>307.29998799999998</v>
      </c>
      <c r="E303" s="4">
        <v>1607.349976</v>
      </c>
      <c r="F303" s="4">
        <v>568.5</v>
      </c>
      <c r="G303" s="3">
        <f>IF('Value at Risk'!$C$5=0,'Market Data - EQ'!B303-'Market Data - EQ'!B304,IF('Value at Risk'!$C$6=0,('Market Data - EQ'!B303-'Market Data - EQ'!B304)/'Market Data - EQ'!B304,LN('Market Data - EQ'!B303/'Market Data - EQ'!B304)))</f>
        <v>3.8564924019921136E-3</v>
      </c>
      <c r="H303" s="3">
        <f>IF('Value at Risk'!$C$5=0,'Market Data - EQ'!C303-'Market Data - EQ'!C304,IF('Value at Risk'!$C$6=0,('Market Data - EQ'!C303-'Market Data - EQ'!C304)/'Market Data - EQ'!C304,LN('Market Data - EQ'!C303/'Market Data - EQ'!C304)))</f>
        <v>-4.7908604063196518E-2</v>
      </c>
      <c r="I303" s="3">
        <f>IF('Value at Risk'!$C$5=0,'Market Data - EQ'!D303-'Market Data - EQ'!D304,IF('Value at Risk'!$C$6=0,('Market Data - EQ'!D303-'Market Data - EQ'!D304)/'Market Data - EQ'!D304,LN('Market Data - EQ'!D303/'Market Data - EQ'!D304)))</f>
        <v>-2.9067968404423428E-2</v>
      </c>
      <c r="J303" s="3">
        <f>IF('Value at Risk'!$C$5=0,'Market Data - EQ'!E303-'Market Data - EQ'!E304,IF('Value at Risk'!$C$6=0,('Market Data - EQ'!E303-'Market Data - EQ'!E304)/'Market Data - EQ'!E304,LN('Market Data - EQ'!E303/'Market Data - EQ'!E304)))</f>
        <v>1.1229931424976389E-2</v>
      </c>
      <c r="K303" s="3">
        <f>IF('Value at Risk'!$C$5=0,'Market Data - EQ'!F303-'Market Data - EQ'!F304,IF('Value at Risk'!$C$6=0,('Market Data - EQ'!F303-'Market Data - EQ'!F304)/'Market Data - EQ'!F304,LN('Market Data - EQ'!F303/'Market Data - EQ'!F304)))</f>
        <v>-3.0277185501066096E-2</v>
      </c>
      <c r="L303" s="8">
        <f t="shared" si="4"/>
        <v>-1.8433466828343507E-2</v>
      </c>
    </row>
    <row r="304" spans="1:12" x14ac:dyDescent="0.25">
      <c r="A304" s="5">
        <v>43377</v>
      </c>
      <c r="B304" s="4">
        <v>978.875</v>
      </c>
      <c r="C304" s="4">
        <v>271.35000600000001</v>
      </c>
      <c r="D304" s="4">
        <v>316.5</v>
      </c>
      <c r="E304" s="4">
        <v>1589.5</v>
      </c>
      <c r="F304" s="4">
        <v>586.25</v>
      </c>
      <c r="G304" s="3">
        <f>IF('Value at Risk'!$C$5=0,'Market Data - EQ'!B304-'Market Data - EQ'!B305,IF('Value at Risk'!$C$6=0,('Market Data - EQ'!B304-'Market Data - EQ'!B305)/'Market Data - EQ'!B305,LN('Market Data - EQ'!B304/'Market Data - EQ'!B305)))</f>
        <v>-3.6141925191109779E-2</v>
      </c>
      <c r="H304" s="3">
        <f>IF('Value at Risk'!$C$5=0,'Market Data - EQ'!C304-'Market Data - EQ'!C305,IF('Value at Risk'!$C$6=0,('Market Data - EQ'!C304-'Market Data - EQ'!C305)/'Market Data - EQ'!C305,LN('Market Data - EQ'!C304/'Market Data - EQ'!C305)))</f>
        <v>-1.2882075249963829E-3</v>
      </c>
      <c r="I304" s="3">
        <f>IF('Value at Risk'!$C$5=0,'Market Data - EQ'!D304-'Market Data - EQ'!D305,IF('Value at Risk'!$C$6=0,('Market Data - EQ'!D304-'Market Data - EQ'!D305)/'Market Data - EQ'!D305,LN('Market Data - EQ'!D304/'Market Data - EQ'!D305)))</f>
        <v>4.2146814271446204E-2</v>
      </c>
      <c r="J304" s="3">
        <f>IF('Value at Risk'!$C$5=0,'Market Data - EQ'!E304-'Market Data - EQ'!E305,IF('Value at Risk'!$C$6=0,('Market Data - EQ'!E304-'Market Data - EQ'!E305)/'Market Data - EQ'!E305,LN('Market Data - EQ'!E304/'Market Data - EQ'!E305)))</f>
        <v>-3.0023770349157746E-2</v>
      </c>
      <c r="K304" s="3">
        <f>IF('Value at Risk'!$C$5=0,'Market Data - EQ'!F304-'Market Data - EQ'!F305,IF('Value at Risk'!$C$6=0,('Market Data - EQ'!F304-'Market Data - EQ'!F305)/'Market Data - EQ'!F305,LN('Market Data - EQ'!F304/'Market Data - EQ'!F305)))</f>
        <v>2.4464831804281346E-2</v>
      </c>
      <c r="L304" s="8">
        <f t="shared" si="4"/>
        <v>-1.6845139790727242E-4</v>
      </c>
    </row>
    <row r="305" spans="1:12" x14ac:dyDescent="0.25">
      <c r="A305" s="5">
        <v>43376</v>
      </c>
      <c r="B305" s="4">
        <v>1015.580017</v>
      </c>
      <c r="C305" s="4">
        <v>271.70001200000002</v>
      </c>
      <c r="D305" s="4">
        <v>303.70001200000002</v>
      </c>
      <c r="E305" s="4">
        <v>1638.6999510000001</v>
      </c>
      <c r="F305" s="4">
        <v>572.25</v>
      </c>
      <c r="G305" s="3">
        <f>IF('Value at Risk'!$C$5=0,'Market Data - EQ'!B305-'Market Data - EQ'!B306,IF('Value at Risk'!$C$6=0,('Market Data - EQ'!B305-'Market Data - EQ'!B306)/'Market Data - EQ'!B306,LN('Market Data - EQ'!B305/'Market Data - EQ'!B306)))</f>
        <v>-2.1026943176690287E-3</v>
      </c>
      <c r="H305" s="3">
        <f>IF('Value at Risk'!$C$5=0,'Market Data - EQ'!C305-'Market Data - EQ'!C306,IF('Value at Risk'!$C$6=0,('Market Data - EQ'!C305-'Market Data - EQ'!C306)/'Market Data - EQ'!C306,LN('Market Data - EQ'!C305/'Market Data - EQ'!C306)))</f>
        <v>-7.8509912466461374E-3</v>
      </c>
      <c r="I305" s="3">
        <f>IF('Value at Risk'!$C$5=0,'Market Data - EQ'!D305-'Market Data - EQ'!D306,IF('Value at Risk'!$C$6=0,('Market Data - EQ'!D305-'Market Data - EQ'!D306)/'Market Data - EQ'!D306,LN('Market Data - EQ'!D305/'Market Data - EQ'!D306)))</f>
        <v>-3.2802509554140082E-2</v>
      </c>
      <c r="J305" s="3">
        <f>IF('Value at Risk'!$C$5=0,'Market Data - EQ'!E305-'Market Data - EQ'!E306,IF('Value at Risk'!$C$6=0,('Market Data - EQ'!E305-'Market Data - EQ'!E306)/'Market Data - EQ'!E306,LN('Market Data - EQ'!E305/'Market Data - EQ'!E306)))</f>
        <v>-2.4046954264677713E-3</v>
      </c>
      <c r="K305" s="3">
        <f>IF('Value at Risk'!$C$5=0,'Market Data - EQ'!F305-'Market Data - EQ'!F306,IF('Value at Risk'!$C$6=0,('Market Data - EQ'!F305-'Market Data - EQ'!F306)/'Market Data - EQ'!F306,LN('Market Data - EQ'!F305/'Market Data - EQ'!F306)))</f>
        <v>-3.5723332330137379E-2</v>
      </c>
      <c r="L305" s="8">
        <f t="shared" si="4"/>
        <v>-1.6176844575012079E-2</v>
      </c>
    </row>
    <row r="306" spans="1:12" x14ac:dyDescent="0.25">
      <c r="A306" s="5">
        <v>43374</v>
      </c>
      <c r="B306" s="4">
        <v>1017.719971</v>
      </c>
      <c r="C306" s="4">
        <v>273.85000600000001</v>
      </c>
      <c r="D306" s="4">
        <v>314</v>
      </c>
      <c r="E306" s="4">
        <v>1642.650024</v>
      </c>
      <c r="F306" s="4">
        <v>593.45001200000002</v>
      </c>
      <c r="G306" s="3">
        <f>IF('Value at Risk'!$C$5=0,'Market Data - EQ'!B306-'Market Data - EQ'!B307,IF('Value at Risk'!$C$6=0,('Market Data - EQ'!B306-'Market Data - EQ'!B307)/'Market Data - EQ'!B307,LN('Market Data - EQ'!B306/'Market Data - EQ'!B307)))</f>
        <v>1.4645565511777887E-2</v>
      </c>
      <c r="H306" s="3">
        <f>IF('Value at Risk'!$C$5=0,'Market Data - EQ'!C306-'Market Data - EQ'!C307,IF('Value at Risk'!$C$6=0,('Market Data - EQ'!C306-'Market Data - EQ'!C307)/'Market Data - EQ'!C307,LN('Market Data - EQ'!C306/'Market Data - EQ'!C307)))</f>
        <v>3.1450116760828657E-2</v>
      </c>
      <c r="I306" s="3">
        <f>IF('Value at Risk'!$C$5=0,'Market Data - EQ'!D306-'Market Data - EQ'!D307,IF('Value at Risk'!$C$6=0,('Market Data - EQ'!D306-'Market Data - EQ'!D307)/'Market Data - EQ'!D307,LN('Market Data - EQ'!D306/'Market Data - EQ'!D307)))</f>
        <v>2.7655088633156862E-2</v>
      </c>
      <c r="J306" s="3">
        <f>IF('Value at Risk'!$C$5=0,'Market Data - EQ'!E306-'Market Data - EQ'!E307,IF('Value at Risk'!$C$6=0,('Market Data - EQ'!E306-'Market Data - EQ'!E307)/'Market Data - EQ'!E307,LN('Market Data - EQ'!E306/'Market Data - EQ'!E307)))</f>
        <v>-2.8046521479080714E-2</v>
      </c>
      <c r="K306" s="3">
        <f>IF('Value at Risk'!$C$5=0,'Market Data - EQ'!F306-'Market Data - EQ'!F307,IF('Value at Risk'!$C$6=0,('Market Data - EQ'!F306-'Market Data - EQ'!F307)/'Market Data - EQ'!F307,LN('Market Data - EQ'!F306/'Market Data - EQ'!F307)))</f>
        <v>-3.2286975947818972E-2</v>
      </c>
      <c r="L306" s="8">
        <f t="shared" si="4"/>
        <v>2.6834546957727442E-3</v>
      </c>
    </row>
    <row r="307" spans="1:12" x14ac:dyDescent="0.25">
      <c r="A307" s="5">
        <v>43371</v>
      </c>
      <c r="B307" s="4">
        <v>1003.030029</v>
      </c>
      <c r="C307" s="4">
        <v>265.5</v>
      </c>
      <c r="D307" s="4">
        <v>305.54998799999998</v>
      </c>
      <c r="E307" s="4">
        <v>1690.0500489999999</v>
      </c>
      <c r="F307" s="4">
        <v>613.25</v>
      </c>
      <c r="G307" s="3">
        <f>IF('Value at Risk'!$C$5=0,'Market Data - EQ'!B307-'Market Data - EQ'!B308,IF('Value at Risk'!$C$6=0,('Market Data - EQ'!B307-'Market Data - EQ'!B308)/'Market Data - EQ'!B308,LN('Market Data - EQ'!B307/'Market Data - EQ'!B308)))</f>
        <v>1.513550774827205E-2</v>
      </c>
      <c r="H307" s="3">
        <f>IF('Value at Risk'!$C$5=0,'Market Data - EQ'!C307-'Market Data - EQ'!C308,IF('Value at Risk'!$C$6=0,('Market Data - EQ'!C307-'Market Data - EQ'!C308)/'Market Data - EQ'!C308,LN('Market Data - EQ'!C307/'Market Data - EQ'!C308)))</f>
        <v>5.6526850050266217E-4</v>
      </c>
      <c r="I307" s="3">
        <f>IF('Value at Risk'!$C$5=0,'Market Data - EQ'!D307-'Market Data - EQ'!D308,IF('Value at Risk'!$C$6=0,('Market Data - EQ'!D307-'Market Data - EQ'!D308)/'Market Data - EQ'!D308,LN('Market Data - EQ'!D307/'Market Data - EQ'!D308)))</f>
        <v>-3.5871711120920731E-3</v>
      </c>
      <c r="J307" s="3">
        <f>IF('Value at Risk'!$C$5=0,'Market Data - EQ'!E307-'Market Data - EQ'!E308,IF('Value at Risk'!$C$6=0,('Market Data - EQ'!E307-'Market Data - EQ'!E308)/'Market Data - EQ'!E308,LN('Market Data - EQ'!E307/'Market Data - EQ'!E308)))</f>
        <v>4.7859982164090041E-3</v>
      </c>
      <c r="K307" s="3">
        <f>IF('Value at Risk'!$C$5=0,'Market Data - EQ'!F307-'Market Data - EQ'!F308,IF('Value at Risk'!$C$6=0,('Market Data - EQ'!F307-'Market Data - EQ'!F308)/'Market Data - EQ'!F308,LN('Market Data - EQ'!F307/'Market Data - EQ'!F308)))</f>
        <v>2.1827835501344525E-2</v>
      </c>
      <c r="L307" s="8">
        <f t="shared" si="4"/>
        <v>7.7454877708872331E-3</v>
      </c>
    </row>
    <row r="308" spans="1:12" x14ac:dyDescent="0.25">
      <c r="A308" s="5">
        <v>43370</v>
      </c>
      <c r="B308" s="4">
        <v>988.07501200000002</v>
      </c>
      <c r="C308" s="4">
        <v>265.35000600000001</v>
      </c>
      <c r="D308" s="4">
        <v>306.64999399999999</v>
      </c>
      <c r="E308" s="4">
        <v>1682</v>
      </c>
      <c r="F308" s="4">
        <v>600.15002400000003</v>
      </c>
      <c r="G308" s="3">
        <f>IF('Value at Risk'!$C$5=0,'Market Data - EQ'!B308-'Market Data - EQ'!B309,IF('Value at Risk'!$C$6=0,('Market Data - EQ'!B308-'Market Data - EQ'!B309)/'Market Data - EQ'!B309,LN('Market Data - EQ'!B308/'Market Data - EQ'!B309)))</f>
        <v>4.0392603362892935E-3</v>
      </c>
      <c r="H308" s="3">
        <f>IF('Value at Risk'!$C$5=0,'Market Data - EQ'!C308-'Market Data - EQ'!C309,IF('Value at Risk'!$C$6=0,('Market Data - EQ'!C308-'Market Data - EQ'!C309)/'Market Data - EQ'!C309,LN('Market Data - EQ'!C308/'Market Data - EQ'!C309)))</f>
        <v>5.6850481936316496E-3</v>
      </c>
      <c r="I308" s="3">
        <f>IF('Value at Risk'!$C$5=0,'Market Data - EQ'!D308-'Market Data - EQ'!D309,IF('Value at Risk'!$C$6=0,('Market Data - EQ'!D308-'Market Data - EQ'!D309)/'Market Data - EQ'!D309,LN('Market Data - EQ'!D308/'Market Data - EQ'!D309)))</f>
        <v>-2.0600485073130323E-2</v>
      </c>
      <c r="J308" s="3">
        <f>IF('Value at Risk'!$C$5=0,'Market Data - EQ'!E308-'Market Data - EQ'!E309,IF('Value at Risk'!$C$6=0,('Market Data - EQ'!E308-'Market Data - EQ'!E309)/'Market Data - EQ'!E309,LN('Market Data - EQ'!E308/'Market Data - EQ'!E309)))</f>
        <v>-1.1634768145432076E-2</v>
      </c>
      <c r="K308" s="3">
        <f>IF('Value at Risk'!$C$5=0,'Market Data - EQ'!F308-'Market Data - EQ'!F309,IF('Value at Risk'!$C$6=0,('Market Data - EQ'!F308-'Market Data - EQ'!F309)/'Market Data - EQ'!F309,LN('Market Data - EQ'!F308/'Market Data - EQ'!F309)))</f>
        <v>-2.8018443054139877E-2</v>
      </c>
      <c r="L308" s="8">
        <f t="shared" si="4"/>
        <v>-1.0105877548556266E-2</v>
      </c>
    </row>
    <row r="309" spans="1:12" x14ac:dyDescent="0.25">
      <c r="A309" s="5">
        <v>43369</v>
      </c>
      <c r="B309" s="4">
        <v>984.09997599999997</v>
      </c>
      <c r="C309" s="4">
        <v>263.85000600000001</v>
      </c>
      <c r="D309" s="4">
        <v>313.10000600000001</v>
      </c>
      <c r="E309" s="4">
        <v>1701.8000489999999</v>
      </c>
      <c r="F309" s="4">
        <v>617.45001200000002</v>
      </c>
      <c r="G309" s="3">
        <f>IF('Value at Risk'!$C$5=0,'Market Data - EQ'!B309-'Market Data - EQ'!B310,IF('Value at Risk'!$C$6=0,('Market Data - EQ'!B309-'Market Data - EQ'!B310)/'Market Data - EQ'!B310,LN('Market Data - EQ'!B309/'Market Data - EQ'!B310)))</f>
        <v>8.0925669974279361E-3</v>
      </c>
      <c r="H309" s="3">
        <f>IF('Value at Risk'!$C$5=0,'Market Data - EQ'!C309-'Market Data - EQ'!C310,IF('Value at Risk'!$C$6=0,('Market Data - EQ'!C309-'Market Data - EQ'!C310)/'Market Data - EQ'!C310,LN('Market Data - EQ'!C309/'Market Data - EQ'!C310)))</f>
        <v>-2.602431951327391E-2</v>
      </c>
      <c r="I309" s="3">
        <f>IF('Value at Risk'!$C$5=0,'Market Data - EQ'!D309-'Market Data - EQ'!D310,IF('Value at Risk'!$C$6=0,('Market Data - EQ'!D309-'Market Data - EQ'!D310)/'Market Data - EQ'!D310,LN('Market Data - EQ'!D309/'Market Data - EQ'!D310)))</f>
        <v>6.4288009046197187E-3</v>
      </c>
      <c r="J309" s="3">
        <f>IF('Value at Risk'!$C$5=0,'Market Data - EQ'!E309-'Market Data - EQ'!E310,IF('Value at Risk'!$C$6=0,('Market Data - EQ'!E309-'Market Data - EQ'!E310)/'Market Data - EQ'!E310,LN('Market Data - EQ'!E309/'Market Data - EQ'!E310)))</f>
        <v>2.9763070576101043E-3</v>
      </c>
      <c r="K309" s="3">
        <f>IF('Value at Risk'!$C$5=0,'Market Data - EQ'!F309-'Market Data - EQ'!F310,IF('Value at Risk'!$C$6=0,('Market Data - EQ'!F309-'Market Data - EQ'!F310)/'Market Data - EQ'!F310,LN('Market Data - EQ'!F309/'Market Data - EQ'!F310)))</f>
        <v>5.0460423555059204E-3</v>
      </c>
      <c r="L309" s="8">
        <f t="shared" si="4"/>
        <v>-6.9612043962204574E-4</v>
      </c>
    </row>
    <row r="310" spans="1:12" x14ac:dyDescent="0.25">
      <c r="A310" s="5">
        <v>43368</v>
      </c>
      <c r="B310" s="4">
        <v>976.20001200000002</v>
      </c>
      <c r="C310" s="4">
        <v>270.89999399999999</v>
      </c>
      <c r="D310" s="4">
        <v>311.10000600000001</v>
      </c>
      <c r="E310" s="4">
        <v>1696.75</v>
      </c>
      <c r="F310" s="4">
        <v>614.34997599999997</v>
      </c>
      <c r="G310" s="3">
        <f>IF('Value at Risk'!$C$5=0,'Market Data - EQ'!B310-'Market Data - EQ'!B311,IF('Value at Risk'!$C$6=0,('Market Data - EQ'!B310-'Market Data - EQ'!B311)/'Market Data - EQ'!B311,LN('Market Data - EQ'!B310/'Market Data - EQ'!B311)))</f>
        <v>1.3865125754544388E-2</v>
      </c>
      <c r="H310" s="3">
        <f>IF('Value at Risk'!$C$5=0,'Market Data - EQ'!C310-'Market Data - EQ'!C311,IF('Value at Risk'!$C$6=0,('Market Data - EQ'!C310-'Market Data - EQ'!C311)/'Market Data - EQ'!C311,LN('Market Data - EQ'!C310/'Market Data - EQ'!C311)))</f>
        <v>2.4777710805120937E-2</v>
      </c>
      <c r="I310" s="3">
        <f>IF('Value at Risk'!$C$5=0,'Market Data - EQ'!D310-'Market Data - EQ'!D311,IF('Value at Risk'!$C$6=0,('Market Data - EQ'!D310-'Market Data - EQ'!D311)/'Market Data - EQ'!D311,LN('Market Data - EQ'!D310/'Market Data - EQ'!D311)))</f>
        <v>7.6113554655870691E-3</v>
      </c>
      <c r="J310" s="3">
        <f>IF('Value at Risk'!$C$5=0,'Market Data - EQ'!E310-'Market Data - EQ'!E311,IF('Value at Risk'!$C$6=0,('Market Data - EQ'!E310-'Market Data - EQ'!E311)/'Market Data - EQ'!E311,LN('Market Data - EQ'!E310/'Market Data - EQ'!E311)))</f>
        <v>1.3469149241421728E-2</v>
      </c>
      <c r="K310" s="3">
        <f>IF('Value at Risk'!$C$5=0,'Market Data - EQ'!F310-'Market Data - EQ'!F311,IF('Value at Risk'!$C$6=0,('Market Data - EQ'!F310-'Market Data - EQ'!F311)/'Market Data - EQ'!F311,LN('Market Data - EQ'!F310/'Market Data - EQ'!F311)))</f>
        <v>2.8459028514299298E-2</v>
      </c>
      <c r="L310" s="8">
        <f t="shared" si="4"/>
        <v>1.7636473956194686E-2</v>
      </c>
    </row>
    <row r="311" spans="1:12" x14ac:dyDescent="0.25">
      <c r="A311" s="5">
        <v>43367</v>
      </c>
      <c r="B311" s="4">
        <v>962.84997599999997</v>
      </c>
      <c r="C311" s="4">
        <v>264.35000600000001</v>
      </c>
      <c r="D311" s="4">
        <v>308.75</v>
      </c>
      <c r="E311" s="4">
        <v>1674.1999510000001</v>
      </c>
      <c r="F311" s="4">
        <v>597.34997599999997</v>
      </c>
      <c r="G311" s="3">
        <f>IF('Value at Risk'!$C$5=0,'Market Data - EQ'!B311-'Market Data - EQ'!B312,IF('Value at Risk'!$C$6=0,('Market Data - EQ'!B311-'Market Data - EQ'!B312)/'Market Data - EQ'!B312,LN('Market Data - EQ'!B311/'Market Data - EQ'!B312)))</f>
        <v>-2.2611368100494893E-2</v>
      </c>
      <c r="H311" s="3">
        <f>IF('Value at Risk'!$C$5=0,'Market Data - EQ'!C311-'Market Data - EQ'!C312,IF('Value at Risk'!$C$6=0,('Market Data - EQ'!C311-'Market Data - EQ'!C312)/'Market Data - EQ'!C312,LN('Market Data - EQ'!C311/'Market Data - EQ'!C312)))</f>
        <v>-2.3096821365185038E-2</v>
      </c>
      <c r="I311" s="3">
        <f>IF('Value at Risk'!$C$5=0,'Market Data - EQ'!D311-'Market Data - EQ'!D312,IF('Value at Risk'!$C$6=0,('Market Data - EQ'!D311-'Market Data - EQ'!D312)/'Market Data - EQ'!D312,LN('Market Data - EQ'!D311/'Market Data - EQ'!D312)))</f>
        <v>-2.6332405682767498E-2</v>
      </c>
      <c r="J311" s="3">
        <f>IF('Value at Risk'!$C$5=0,'Market Data - EQ'!E311-'Market Data - EQ'!E312,IF('Value at Risk'!$C$6=0,('Market Data - EQ'!E311-'Market Data - EQ'!E312)/'Market Data - EQ'!E312,LN('Market Data - EQ'!E311/'Market Data - EQ'!E312)))</f>
        <v>-5.0072343869922466E-2</v>
      </c>
      <c r="K311" s="3">
        <f>IF('Value at Risk'!$C$5=0,'Market Data - EQ'!F311-'Market Data - EQ'!F312,IF('Value at Risk'!$C$6=0,('Market Data - EQ'!F311-'Market Data - EQ'!F312)/'Market Data - EQ'!F312,LN('Market Data - EQ'!F311/'Market Data - EQ'!F312)))</f>
        <v>-3.0875099515185684E-3</v>
      </c>
      <c r="L311" s="8">
        <f t="shared" si="4"/>
        <v>-2.5040089793977694E-2</v>
      </c>
    </row>
    <row r="312" spans="1:12" x14ac:dyDescent="0.25">
      <c r="A312" s="5">
        <v>43364</v>
      </c>
      <c r="B312" s="4">
        <v>985.125</v>
      </c>
      <c r="C312" s="4">
        <v>270.60000600000001</v>
      </c>
      <c r="D312" s="4">
        <v>317.10000600000001</v>
      </c>
      <c r="E312" s="4">
        <v>1762.4499510000001</v>
      </c>
      <c r="F312" s="4">
        <v>599.20001200000002</v>
      </c>
      <c r="G312" s="3">
        <f>IF('Value at Risk'!$C$5=0,'Market Data - EQ'!B312-'Market Data - EQ'!B313,IF('Value at Risk'!$C$6=0,('Market Data - EQ'!B312-'Market Data - EQ'!B313)/'Market Data - EQ'!B313,LN('Market Data - EQ'!B312/'Market Data - EQ'!B313)))</f>
        <v>4.5377031681774829E-3</v>
      </c>
      <c r="H312" s="3">
        <f>IF('Value at Risk'!$C$5=0,'Market Data - EQ'!C312-'Market Data - EQ'!C313,IF('Value at Risk'!$C$6=0,('Market Data - EQ'!C312-'Market Data - EQ'!C313)/'Market Data - EQ'!C313,LN('Market Data - EQ'!C312/'Market Data - EQ'!C313)))</f>
        <v>-3.3148950276242813E-3</v>
      </c>
      <c r="I312" s="3">
        <f>IF('Value at Risk'!$C$5=0,'Market Data - EQ'!D312-'Market Data - EQ'!D313,IF('Value at Risk'!$C$6=0,('Market Data - EQ'!D312-'Market Data - EQ'!D313)/'Market Data - EQ'!D313,LN('Market Data - EQ'!D312/'Market Data - EQ'!D313)))</f>
        <v>-1.1995656195831541E-2</v>
      </c>
      <c r="J312" s="3">
        <f>IF('Value at Risk'!$C$5=0,'Market Data - EQ'!E312-'Market Data - EQ'!E313,IF('Value at Risk'!$C$6=0,('Market Data - EQ'!E312-'Market Data - EQ'!E313)/'Market Data - EQ'!E313,LN('Market Data - EQ'!E312/'Market Data - EQ'!E313)))</f>
        <v>-2.3384075825662678E-2</v>
      </c>
      <c r="K312" s="3">
        <f>IF('Value at Risk'!$C$5=0,'Market Data - EQ'!F312-'Market Data - EQ'!F313,IF('Value at Risk'!$C$6=0,('Market Data - EQ'!F312-'Market Data - EQ'!F313)/'Market Data - EQ'!F313,LN('Market Data - EQ'!F312/'Market Data - EQ'!F313)))</f>
        <v>-1.5768686250368272E-2</v>
      </c>
      <c r="L312" s="8">
        <f t="shared" si="4"/>
        <v>-9.9851220262618581E-3</v>
      </c>
    </row>
    <row r="313" spans="1:12" x14ac:dyDescent="0.25">
      <c r="A313" s="5">
        <v>43362</v>
      </c>
      <c r="B313" s="4">
        <v>980.67498799999998</v>
      </c>
      <c r="C313" s="4">
        <v>271.5</v>
      </c>
      <c r="D313" s="4">
        <v>320.95001200000002</v>
      </c>
      <c r="E313" s="4">
        <v>1804.650024</v>
      </c>
      <c r="F313" s="4">
        <v>608.79998799999998</v>
      </c>
      <c r="G313" s="3">
        <f>IF('Value at Risk'!$C$5=0,'Market Data - EQ'!B313-'Market Data - EQ'!B314,IF('Value at Risk'!$C$6=0,('Market Data - EQ'!B313-'Market Data - EQ'!B314)/'Market Data - EQ'!B314,LN('Market Data - EQ'!B313/'Market Data - EQ'!B314)))</f>
        <v>-1.4000591530277681E-2</v>
      </c>
      <c r="H313" s="3">
        <f>IF('Value at Risk'!$C$5=0,'Market Data - EQ'!C313-'Market Data - EQ'!C314,IF('Value at Risk'!$C$6=0,('Market Data - EQ'!C313-'Market Data - EQ'!C314)/'Market Data - EQ'!C314,LN('Market Data - EQ'!C313/'Market Data - EQ'!C314)))</f>
        <v>-8.4002487246273537E-3</v>
      </c>
      <c r="I313" s="3">
        <f>IF('Value at Risk'!$C$5=0,'Market Data - EQ'!D313-'Market Data - EQ'!D314,IF('Value at Risk'!$C$6=0,('Market Data - EQ'!D313-'Market Data - EQ'!D314)/'Market Data - EQ'!D314,LN('Market Data - EQ'!D313/'Market Data - EQ'!D314)))</f>
        <v>6.586187738694938E-3</v>
      </c>
      <c r="J313" s="3">
        <f>IF('Value at Risk'!$C$5=0,'Market Data - EQ'!E313-'Market Data - EQ'!E314,IF('Value at Risk'!$C$6=0,('Market Data - EQ'!E313-'Market Data - EQ'!E314)/'Market Data - EQ'!E314,LN('Market Data - EQ'!E313/'Market Data - EQ'!E314)))</f>
        <v>-3.087828545440547E-2</v>
      </c>
      <c r="K313" s="3">
        <f>IF('Value at Risk'!$C$5=0,'Market Data - EQ'!F313-'Market Data - EQ'!F314,IF('Value at Risk'!$C$6=0,('Market Data - EQ'!F313-'Market Data - EQ'!F314)/'Market Data - EQ'!F314,LN('Market Data - EQ'!F313/'Market Data - EQ'!F314)))</f>
        <v>3.2864279968360561E-4</v>
      </c>
      <c r="L313" s="8">
        <f t="shared" si="4"/>
        <v>-9.2728590341863912E-3</v>
      </c>
    </row>
    <row r="314" spans="1:12" x14ac:dyDescent="0.25">
      <c r="A314" s="5">
        <v>43361</v>
      </c>
      <c r="B314" s="4">
        <v>994.59997599999997</v>
      </c>
      <c r="C314" s="4">
        <v>273.79998799999998</v>
      </c>
      <c r="D314" s="4">
        <v>318.85000600000001</v>
      </c>
      <c r="E314" s="4">
        <v>1862.150024</v>
      </c>
      <c r="F314" s="4">
        <v>608.59997599999997</v>
      </c>
      <c r="G314" s="3">
        <f>IF('Value at Risk'!$C$5=0,'Market Data - EQ'!B314-'Market Data - EQ'!B315,IF('Value at Risk'!$C$6=0,('Market Data - EQ'!B314-'Market Data - EQ'!B315)/'Market Data - EQ'!B315,LN('Market Data - EQ'!B314/'Market Data - EQ'!B315)))</f>
        <v>-1.5058729406093271E-3</v>
      </c>
      <c r="H314" s="3">
        <f>IF('Value at Risk'!$C$5=0,'Market Data - EQ'!C314-'Market Data - EQ'!C315,IF('Value at Risk'!$C$6=0,('Market Data - EQ'!C314-'Market Data - EQ'!C315)/'Market Data - EQ'!C315,LN('Market Data - EQ'!C314/'Market Data - EQ'!C315)))</f>
        <v>-4.0308448943923547E-2</v>
      </c>
      <c r="I314" s="3">
        <f>IF('Value at Risk'!$C$5=0,'Market Data - EQ'!D314-'Market Data - EQ'!D315,IF('Value at Risk'!$C$6=0,('Market Data - EQ'!D314-'Market Data - EQ'!D315)/'Market Data - EQ'!D315,LN('Market Data - EQ'!D314/'Market Data - EQ'!D315)))</f>
        <v>-2.1031641841020281E-2</v>
      </c>
      <c r="J314" s="3">
        <f>IF('Value at Risk'!$C$5=0,'Market Data - EQ'!E314-'Market Data - EQ'!E315,IF('Value at Risk'!$C$6=0,('Market Data - EQ'!E314-'Market Data - EQ'!E315)/'Market Data - EQ'!E315,LN('Market Data - EQ'!E314/'Market Data - EQ'!E315)))</f>
        <v>-7.9380009115568948E-3</v>
      </c>
      <c r="K314" s="3">
        <f>IF('Value at Risk'!$C$5=0,'Market Data - EQ'!F314-'Market Data - EQ'!F315,IF('Value at Risk'!$C$6=0,('Market Data - EQ'!F314-'Market Data - EQ'!F315)/'Market Data - EQ'!F315,LN('Market Data - EQ'!F314/'Market Data - EQ'!F315)))</f>
        <v>-2.7717925820568631E-2</v>
      </c>
      <c r="L314" s="8">
        <f t="shared" si="4"/>
        <v>-1.9700378091535735E-2</v>
      </c>
    </row>
    <row r="315" spans="1:12" x14ac:dyDescent="0.25">
      <c r="A315" s="5">
        <v>43360</v>
      </c>
      <c r="B315" s="4">
        <v>996.09997599999997</v>
      </c>
      <c r="C315" s="4">
        <v>285.29998799999998</v>
      </c>
      <c r="D315" s="4">
        <v>325.70001200000002</v>
      </c>
      <c r="E315" s="4">
        <v>1877.0500489999999</v>
      </c>
      <c r="F315" s="4">
        <v>625.95001200000002</v>
      </c>
      <c r="G315" s="3">
        <f>IF('Value at Risk'!$C$5=0,'Market Data - EQ'!B315-'Market Data - EQ'!B316,IF('Value at Risk'!$C$6=0,('Market Data - EQ'!B315-'Market Data - EQ'!B316)/'Market Data - EQ'!B316,LN('Market Data - EQ'!B315/'Market Data - EQ'!B316)))</f>
        <v>-1.842728835349574E-2</v>
      </c>
      <c r="H315" s="3">
        <f>IF('Value at Risk'!$C$5=0,'Market Data - EQ'!C315-'Market Data - EQ'!C316,IF('Value at Risk'!$C$6=0,('Market Data - EQ'!C315-'Market Data - EQ'!C316)/'Market Data - EQ'!C316,LN('Market Data - EQ'!C315/'Market Data - EQ'!C316)))</f>
        <v>-1.8407039774444335E-2</v>
      </c>
      <c r="I315" s="3">
        <f>IF('Value at Risk'!$C$5=0,'Market Data - EQ'!D315-'Market Data - EQ'!D316,IF('Value at Risk'!$C$6=0,('Market Data - EQ'!D315-'Market Data - EQ'!D316)/'Market Data - EQ'!D316,LN('Market Data - EQ'!D315/'Market Data - EQ'!D316)))</f>
        <v>-8.070637891201965E-3</v>
      </c>
      <c r="J315" s="3">
        <f>IF('Value at Risk'!$C$5=0,'Market Data - EQ'!E315-'Market Data - EQ'!E316,IF('Value at Risk'!$C$6=0,('Market Data - EQ'!E315-'Market Data - EQ'!E316)/'Market Data - EQ'!E316,LN('Market Data - EQ'!E315/'Market Data - EQ'!E316)))</f>
        <v>2.2693292870583433E-3</v>
      </c>
      <c r="K315" s="3">
        <f>IF('Value at Risk'!$C$5=0,'Market Data - EQ'!F315-'Market Data - EQ'!F316,IF('Value at Risk'!$C$6=0,('Market Data - EQ'!F315-'Market Data - EQ'!F316)/'Market Data - EQ'!F316,LN('Market Data - EQ'!F315/'Market Data - EQ'!F316)))</f>
        <v>-1.6420508494512587E-2</v>
      </c>
      <c r="L315" s="8">
        <f t="shared" si="4"/>
        <v>-1.1811229045319258E-2</v>
      </c>
    </row>
    <row r="316" spans="1:12" x14ac:dyDescent="0.25">
      <c r="A316" s="5">
        <v>43357</v>
      </c>
      <c r="B316" s="4">
        <v>1014.799988</v>
      </c>
      <c r="C316" s="4">
        <v>290.64999399999999</v>
      </c>
      <c r="D316" s="4">
        <v>328.35000600000001</v>
      </c>
      <c r="E316" s="4">
        <v>1872.8000489999999</v>
      </c>
      <c r="F316" s="4">
        <v>636.40002400000003</v>
      </c>
      <c r="G316" s="3">
        <f>IF('Value at Risk'!$C$5=0,'Market Data - EQ'!B316-'Market Data - EQ'!B317,IF('Value at Risk'!$C$6=0,('Market Data - EQ'!B316-'Market Data - EQ'!B317)/'Market Data - EQ'!B317,LN('Market Data - EQ'!B316/'Market Data - EQ'!B317)))</f>
        <v>8.8277449002620943E-3</v>
      </c>
      <c r="H316" s="3">
        <f>IF('Value at Risk'!$C$5=0,'Market Data - EQ'!C316-'Market Data - EQ'!C317,IF('Value at Risk'!$C$6=0,('Market Data - EQ'!C316-'Market Data - EQ'!C317)/'Market Data - EQ'!C317,LN('Market Data - EQ'!C316/'Market Data - EQ'!C317)))</f>
        <v>1.8752212495711733E-2</v>
      </c>
      <c r="I316" s="3">
        <f>IF('Value at Risk'!$C$5=0,'Market Data - EQ'!D316-'Market Data - EQ'!D317,IF('Value at Risk'!$C$6=0,('Market Data - EQ'!D316-'Market Data - EQ'!D317)/'Market Data - EQ'!D317,LN('Market Data - EQ'!D316/'Market Data - EQ'!D317)))</f>
        <v>1.6878327969247393E-2</v>
      </c>
      <c r="J316" s="3">
        <f>IF('Value at Risk'!$C$5=0,'Market Data - EQ'!E316-'Market Data - EQ'!E317,IF('Value at Risk'!$C$6=0,('Market Data - EQ'!E316-'Market Data - EQ'!E317)/'Market Data - EQ'!E317,LN('Market Data - EQ'!E316/'Market Data - EQ'!E317)))</f>
        <v>2.4311577971109388E-2</v>
      </c>
      <c r="K316" s="3">
        <f>IF('Value at Risk'!$C$5=0,'Market Data - EQ'!F316-'Market Data - EQ'!F317,IF('Value at Risk'!$C$6=0,('Market Data - EQ'!F316-'Market Data - EQ'!F317)/'Market Data - EQ'!F317,LN('Market Data - EQ'!F316/'Market Data - EQ'!F317)))</f>
        <v>1.4950223968207513E-3</v>
      </c>
      <c r="L316" s="8">
        <f t="shared" si="4"/>
        <v>1.4052977146630272E-2</v>
      </c>
    </row>
    <row r="317" spans="1:12" x14ac:dyDescent="0.25">
      <c r="A317" s="5">
        <v>43355</v>
      </c>
      <c r="B317" s="4">
        <v>1005.919983</v>
      </c>
      <c r="C317" s="4">
        <v>285.29998799999998</v>
      </c>
      <c r="D317" s="4">
        <v>322.89999399999999</v>
      </c>
      <c r="E317" s="4">
        <v>1828.349976</v>
      </c>
      <c r="F317" s="4">
        <v>635.45001200000002</v>
      </c>
      <c r="G317" s="3">
        <f>IF('Value at Risk'!$C$5=0,'Market Data - EQ'!B317-'Market Data - EQ'!B318,IF('Value at Risk'!$C$6=0,('Market Data - EQ'!B317-'Market Data - EQ'!B318)/'Market Data - EQ'!B318,LN('Market Data - EQ'!B317/'Market Data - EQ'!B318)))</f>
        <v>5.7188271659408723E-3</v>
      </c>
      <c r="H317" s="3">
        <f>IF('Value at Risk'!$C$5=0,'Market Data - EQ'!C317-'Market Data - EQ'!C318,IF('Value at Risk'!$C$6=0,('Market Data - EQ'!C317-'Market Data - EQ'!C318)/'Market Data - EQ'!C318,LN('Market Data - EQ'!C317/'Market Data - EQ'!C318)))</f>
        <v>9.5540762302743099E-3</v>
      </c>
      <c r="I317" s="3">
        <f>IF('Value at Risk'!$C$5=0,'Market Data - EQ'!D317-'Market Data - EQ'!D318,IF('Value at Risk'!$C$6=0,('Market Data - EQ'!D317-'Market Data - EQ'!D318)/'Market Data - EQ'!D318,LN('Market Data - EQ'!D317/'Market Data - EQ'!D318)))</f>
        <v>-1.1177443375070626E-2</v>
      </c>
      <c r="J317" s="3">
        <f>IF('Value at Risk'!$C$5=0,'Market Data - EQ'!E317-'Market Data - EQ'!E318,IF('Value at Risk'!$C$6=0,('Market Data - EQ'!E317-'Market Data - EQ'!E318)/'Market Data - EQ'!E318,LN('Market Data - EQ'!E317/'Market Data - EQ'!E318)))</f>
        <v>1.0128529975362548E-3</v>
      </c>
      <c r="K317" s="3">
        <f>IF('Value at Risk'!$C$5=0,'Market Data - EQ'!F317-'Market Data - EQ'!F318,IF('Value at Risk'!$C$6=0,('Market Data - EQ'!F317-'Market Data - EQ'!F318)/'Market Data - EQ'!F318,LN('Market Data - EQ'!F317/'Market Data - EQ'!F318)))</f>
        <v>-2.2610184507199239E-2</v>
      </c>
      <c r="L317" s="8">
        <f t="shared" si="4"/>
        <v>-3.500374297703686E-3</v>
      </c>
    </row>
    <row r="318" spans="1:12" x14ac:dyDescent="0.25">
      <c r="A318" s="5">
        <v>43354</v>
      </c>
      <c r="B318" s="4">
        <v>1000.200012</v>
      </c>
      <c r="C318" s="4">
        <v>282.60000600000001</v>
      </c>
      <c r="D318" s="4">
        <v>326.54998799999998</v>
      </c>
      <c r="E318" s="4">
        <v>1826.5</v>
      </c>
      <c r="F318" s="4">
        <v>650.15002400000003</v>
      </c>
      <c r="G318" s="3">
        <f>IF('Value at Risk'!$C$5=0,'Market Data - EQ'!B318-'Market Data - EQ'!B319,IF('Value at Risk'!$C$6=0,('Market Data - EQ'!B318-'Market Data - EQ'!B319)/'Market Data - EQ'!B319,LN('Market Data - EQ'!B318/'Market Data - EQ'!B319)))</f>
        <v>-1.9969041780679882E-2</v>
      </c>
      <c r="H318" s="3">
        <f>IF('Value at Risk'!$C$5=0,'Market Data - EQ'!C318-'Market Data - EQ'!C319,IF('Value at Risk'!$C$6=0,('Market Data - EQ'!C318-'Market Data - EQ'!C319)/'Market Data - EQ'!C319,LN('Market Data - EQ'!C318/'Market Data - EQ'!C319)))</f>
        <v>-7.898893988438252E-3</v>
      </c>
      <c r="I318" s="3">
        <f>IF('Value at Risk'!$C$5=0,'Market Data - EQ'!D318-'Market Data - EQ'!D319,IF('Value at Risk'!$C$6=0,('Market Data - EQ'!D318-'Market Data - EQ'!D319)/'Market Data - EQ'!D319,LN('Market Data - EQ'!D318/'Market Data - EQ'!D319)))</f>
        <v>-1.9074815603631425E-2</v>
      </c>
      <c r="J318" s="3">
        <f>IF('Value at Risk'!$C$5=0,'Market Data - EQ'!E318-'Market Data - EQ'!E319,IF('Value at Risk'!$C$6=0,('Market Data - EQ'!E318-'Market Data - EQ'!E319)/'Market Data - EQ'!E319,LN('Market Data - EQ'!E318/'Market Data - EQ'!E319)))</f>
        <v>-1.4487734550088661E-3</v>
      </c>
      <c r="K318" s="3">
        <f>IF('Value at Risk'!$C$5=0,'Market Data - EQ'!F318-'Market Data - EQ'!F319,IF('Value at Risk'!$C$6=0,('Market Data - EQ'!F318-'Market Data - EQ'!F319)/'Market Data - EQ'!F319,LN('Market Data - EQ'!F318/'Market Data - EQ'!F319)))</f>
        <v>-2.4548922132719133E-3</v>
      </c>
      <c r="L318" s="8">
        <f t="shared" si="4"/>
        <v>-1.0169283408206067E-2</v>
      </c>
    </row>
    <row r="319" spans="1:12" x14ac:dyDescent="0.25">
      <c r="A319" s="5">
        <v>43353</v>
      </c>
      <c r="B319" s="4">
        <v>1020.580017</v>
      </c>
      <c r="C319" s="4">
        <v>284.85000600000001</v>
      </c>
      <c r="D319" s="4">
        <v>332.89999399999999</v>
      </c>
      <c r="E319" s="4">
        <v>1829.150024</v>
      </c>
      <c r="F319" s="4">
        <v>651.75</v>
      </c>
      <c r="G319" s="3">
        <f>IF('Value at Risk'!$C$5=0,'Market Data - EQ'!B319-'Market Data - EQ'!B320,IF('Value at Risk'!$C$6=0,('Market Data - EQ'!B319-'Market Data - EQ'!B320)/'Market Data - EQ'!B320,LN('Market Data - EQ'!B319/'Market Data - EQ'!B320)))</f>
        <v>-7.6715453270146949E-3</v>
      </c>
      <c r="H319" s="3">
        <f>IF('Value at Risk'!$C$5=0,'Market Data - EQ'!C319-'Market Data - EQ'!C320,IF('Value at Risk'!$C$6=0,('Market Data - EQ'!C319-'Market Data - EQ'!C320)/'Market Data - EQ'!C320,LN('Market Data - EQ'!C319/'Market Data - EQ'!C320)))</f>
        <v>-2.3315577369770097E-2</v>
      </c>
      <c r="I319" s="3">
        <f>IF('Value at Risk'!$C$5=0,'Market Data - EQ'!D319-'Market Data - EQ'!D320,IF('Value at Risk'!$C$6=0,('Market Data - EQ'!D319-'Market Data - EQ'!D320)/'Market Data - EQ'!D320,LN('Market Data - EQ'!D319/'Market Data - EQ'!D320)))</f>
        <v>-6.5652401092467158E-3</v>
      </c>
      <c r="J319" s="3">
        <f>IF('Value at Risk'!$C$5=0,'Market Data - EQ'!E319-'Market Data - EQ'!E320,IF('Value at Risk'!$C$6=0,('Market Data - EQ'!E319-'Market Data - EQ'!E320)/'Market Data - EQ'!E320,LN('Market Data - EQ'!E319/'Market Data - EQ'!E320)))</f>
        <v>-2.4895355490838007E-2</v>
      </c>
      <c r="K319" s="3">
        <f>IF('Value at Risk'!$C$5=0,'Market Data - EQ'!F319-'Market Data - EQ'!F320,IF('Value at Risk'!$C$6=0,('Market Data - EQ'!F319-'Market Data - EQ'!F320)/'Market Data - EQ'!F320,LN('Market Data - EQ'!F319/'Market Data - EQ'!F320)))</f>
        <v>9.6042322287209388E-3</v>
      </c>
      <c r="L319" s="8">
        <f t="shared" si="4"/>
        <v>-1.0568697213629717E-2</v>
      </c>
    </row>
    <row r="320" spans="1:12" x14ac:dyDescent="0.25">
      <c r="A320" s="5">
        <v>43350</v>
      </c>
      <c r="B320" s="4">
        <v>1028.469971</v>
      </c>
      <c r="C320" s="4">
        <v>291.64999399999999</v>
      </c>
      <c r="D320" s="4">
        <v>335.10000600000001</v>
      </c>
      <c r="E320" s="4">
        <v>1875.849976</v>
      </c>
      <c r="F320" s="4">
        <v>645.54998799999998</v>
      </c>
      <c r="G320" s="3">
        <f>IF('Value at Risk'!$C$5=0,'Market Data - EQ'!B320-'Market Data - EQ'!B321,IF('Value at Risk'!$C$6=0,('Market Data - EQ'!B320-'Market Data - EQ'!B321)/'Market Data - EQ'!B321,LN('Market Data - EQ'!B320/'Market Data - EQ'!B321)))</f>
        <v>2.3097115831138245E-3</v>
      </c>
      <c r="H320" s="3">
        <f>IF('Value at Risk'!$C$5=0,'Market Data - EQ'!C320-'Market Data - EQ'!C321,IF('Value at Risk'!$C$6=0,('Market Data - EQ'!C320-'Market Data - EQ'!C321)/'Market Data - EQ'!C321,LN('Market Data - EQ'!C320/'Market Data - EQ'!C321)))</f>
        <v>-1.6191660670265118E-2</v>
      </c>
      <c r="I320" s="3">
        <f>IF('Value at Risk'!$C$5=0,'Market Data - EQ'!D320-'Market Data - EQ'!D321,IF('Value at Risk'!$C$6=0,('Market Data - EQ'!D320-'Market Data - EQ'!D321)/'Market Data - EQ'!D321,LN('Market Data - EQ'!D320/'Market Data - EQ'!D321)))</f>
        <v>1.9625778541776013E-2</v>
      </c>
      <c r="J320" s="3">
        <f>IF('Value at Risk'!$C$5=0,'Market Data - EQ'!E320-'Market Data - EQ'!E321,IF('Value at Risk'!$C$6=0,('Market Data - EQ'!E320-'Market Data - EQ'!E321)/'Market Data - EQ'!E321,LN('Market Data - EQ'!E320/'Market Data - EQ'!E321)))</f>
        <v>-2.2074595744681013E-3</v>
      </c>
      <c r="K320" s="3">
        <f>IF('Value at Risk'!$C$5=0,'Market Data - EQ'!F320-'Market Data - EQ'!F321,IF('Value at Risk'!$C$6=0,('Market Data - EQ'!F320-'Market Data - EQ'!F321)/'Market Data - EQ'!F321,LN('Market Data - EQ'!F320/'Market Data - EQ'!F321)))</f>
        <v>1.151672808179134E-2</v>
      </c>
      <c r="L320" s="8">
        <f t="shared" si="4"/>
        <v>3.0106195923895913E-3</v>
      </c>
    </row>
    <row r="321" spans="1:12" x14ac:dyDescent="0.25">
      <c r="A321" s="5">
        <v>43349</v>
      </c>
      <c r="B321" s="4">
        <v>1026.099976</v>
      </c>
      <c r="C321" s="4">
        <v>296.45001200000002</v>
      </c>
      <c r="D321" s="4">
        <v>328.64999399999999</v>
      </c>
      <c r="E321" s="4">
        <v>1880</v>
      </c>
      <c r="F321" s="4">
        <v>638.20001200000002</v>
      </c>
      <c r="G321" s="3">
        <f>IF('Value at Risk'!$C$5=0,'Market Data - EQ'!B321-'Market Data - EQ'!B322,IF('Value at Risk'!$C$6=0,('Market Data - EQ'!B321-'Market Data - EQ'!B322)/'Market Data - EQ'!B322,LN('Market Data - EQ'!B321/'Market Data - EQ'!B322)))</f>
        <v>3.1087407156459544E-3</v>
      </c>
      <c r="H321" s="3">
        <f>IF('Value at Risk'!$C$5=0,'Market Data - EQ'!C321-'Market Data - EQ'!C322,IF('Value at Risk'!$C$6=0,('Market Data - EQ'!C321-'Market Data - EQ'!C322)/'Market Data - EQ'!C322,LN('Market Data - EQ'!C321/'Market Data - EQ'!C322)))</f>
        <v>-3.3713034579508955E-4</v>
      </c>
      <c r="I321" s="3">
        <f>IF('Value at Risk'!$C$5=0,'Market Data - EQ'!D321-'Market Data - EQ'!D322,IF('Value at Risk'!$C$6=0,('Market Data - EQ'!D321-'Market Data - EQ'!D322)/'Market Data - EQ'!D322,LN('Market Data - EQ'!D321/'Market Data - EQ'!D322)))</f>
        <v>-3.03352045563817E-3</v>
      </c>
      <c r="J321" s="3">
        <f>IF('Value at Risk'!$C$5=0,'Market Data - EQ'!E321-'Market Data - EQ'!E322,IF('Value at Risk'!$C$6=0,('Market Data - EQ'!E321-'Market Data - EQ'!E322)/'Market Data - EQ'!E322,LN('Market Data - EQ'!E321/'Market Data - EQ'!E322)))</f>
        <v>1.355906101594064E-2</v>
      </c>
      <c r="K321" s="3">
        <f>IF('Value at Risk'!$C$5=0,'Market Data - EQ'!F321-'Market Data - EQ'!F322,IF('Value at Risk'!$C$6=0,('Market Data - EQ'!F321-'Market Data - EQ'!F322)/'Market Data - EQ'!F322,LN('Market Data - EQ'!F321/'Market Data - EQ'!F322)))</f>
        <v>8.625232953805782E-4</v>
      </c>
      <c r="L321" s="8">
        <f t="shared" si="4"/>
        <v>2.8319348451067827E-3</v>
      </c>
    </row>
    <row r="322" spans="1:12" x14ac:dyDescent="0.25">
      <c r="A322" s="5">
        <v>43348</v>
      </c>
      <c r="B322" s="4">
        <v>1022.919983</v>
      </c>
      <c r="C322" s="4">
        <v>296.54998799999998</v>
      </c>
      <c r="D322" s="4">
        <v>329.64999399999999</v>
      </c>
      <c r="E322" s="4">
        <v>1854.849976</v>
      </c>
      <c r="F322" s="4">
        <v>637.65002400000003</v>
      </c>
      <c r="G322" s="3">
        <f>IF('Value at Risk'!$C$5=0,'Market Data - EQ'!B322-'Market Data - EQ'!B323,IF('Value at Risk'!$C$6=0,('Market Data - EQ'!B322-'Market Data - EQ'!B323)/'Market Data - EQ'!B323,LN('Market Data - EQ'!B322/'Market Data - EQ'!B323)))</f>
        <v>-2.9048064434005982E-3</v>
      </c>
      <c r="H322" s="3">
        <f>IF('Value at Risk'!$C$5=0,'Market Data - EQ'!C322-'Market Data - EQ'!C323,IF('Value at Risk'!$C$6=0,('Market Data - EQ'!C322-'Market Data - EQ'!C323)/'Market Data - EQ'!C323,LN('Market Data - EQ'!C322/'Market Data - EQ'!C323)))</f>
        <v>5.0605264182290233E-4</v>
      </c>
      <c r="I322" s="3">
        <f>IF('Value at Risk'!$C$5=0,'Market Data - EQ'!D322-'Market Data - EQ'!D323,IF('Value at Risk'!$C$6=0,('Market Data - EQ'!D322-'Market Data - EQ'!D323)/'Market Data - EQ'!D323,LN('Market Data - EQ'!D322/'Market Data - EQ'!D323)))</f>
        <v>3.5007427701674045E-3</v>
      </c>
      <c r="J322" s="3">
        <f>IF('Value at Risk'!$C$5=0,'Market Data - EQ'!E322-'Market Data - EQ'!E323,IF('Value at Risk'!$C$6=0,('Market Data - EQ'!E322-'Market Data - EQ'!E323)/'Market Data - EQ'!E323,LN('Market Data - EQ'!E322/'Market Data - EQ'!E323)))</f>
        <v>-4.0418194098963494E-4</v>
      </c>
      <c r="K322" s="3">
        <f>IF('Value at Risk'!$C$5=0,'Market Data - EQ'!F322-'Market Data - EQ'!F323,IF('Value at Risk'!$C$6=0,('Market Data - EQ'!F322-'Market Data - EQ'!F323)/'Market Data - EQ'!F323,LN('Market Data - EQ'!F322/'Market Data - EQ'!F323)))</f>
        <v>-6.4661328725359127E-3</v>
      </c>
      <c r="L322" s="8">
        <f t="shared" si="4"/>
        <v>-1.1536651689871677E-3</v>
      </c>
    </row>
    <row r="323" spans="1:12" x14ac:dyDescent="0.25">
      <c r="A323" s="5">
        <v>43347</v>
      </c>
      <c r="B323" s="4">
        <v>1025.900024</v>
      </c>
      <c r="C323" s="4">
        <v>296.39999399999999</v>
      </c>
      <c r="D323" s="4">
        <v>328.5</v>
      </c>
      <c r="E323" s="4">
        <v>1855.599976</v>
      </c>
      <c r="F323" s="4">
        <v>641.79998799999998</v>
      </c>
      <c r="G323" s="3">
        <f>IF('Value at Risk'!$C$5=0,'Market Data - EQ'!B323-'Market Data - EQ'!B324,IF('Value at Risk'!$C$6=0,('Market Data - EQ'!B323-'Market Data - EQ'!B324)/'Market Data - EQ'!B324,LN('Market Data - EQ'!B323/'Market Data - EQ'!B324)))</f>
        <v>-1.1209318935288362E-2</v>
      </c>
      <c r="H323" s="3">
        <f>IF('Value at Risk'!$C$5=0,'Market Data - EQ'!C323-'Market Data - EQ'!C324,IF('Value at Risk'!$C$6=0,('Market Data - EQ'!C323-'Market Data - EQ'!C324)/'Market Data - EQ'!C324,LN('Market Data - EQ'!C323/'Market Data - EQ'!C324)))</f>
        <v>-3.247922900318146E-2</v>
      </c>
      <c r="I323" s="3">
        <f>IF('Value at Risk'!$C$5=0,'Market Data - EQ'!D323-'Market Data - EQ'!D324,IF('Value at Risk'!$C$6=0,('Market Data - EQ'!D323-'Market Data - EQ'!D324)/'Market Data - EQ'!D324,LN('Market Data - EQ'!D323/'Market Data - EQ'!D324)))</f>
        <v>-1.6908556341317764E-2</v>
      </c>
      <c r="J323" s="3">
        <f>IF('Value at Risk'!$C$5=0,'Market Data - EQ'!E323-'Market Data - EQ'!E324,IF('Value at Risk'!$C$6=0,('Market Data - EQ'!E323-'Market Data - EQ'!E324)/'Market Data - EQ'!E324,LN('Market Data - EQ'!E323/'Market Data - EQ'!E324)))</f>
        <v>-2.1823945176594639E-2</v>
      </c>
      <c r="K323" s="3">
        <f>IF('Value at Risk'!$C$5=0,'Market Data - EQ'!F323-'Market Data - EQ'!F324,IF('Value at Risk'!$C$6=0,('Market Data - EQ'!F323-'Market Data - EQ'!F324)/'Market Data - EQ'!F324,LN('Market Data - EQ'!F323/'Market Data - EQ'!F324)))</f>
        <v>1.5827793906194251E-2</v>
      </c>
      <c r="L323" s="8">
        <f t="shared" si="4"/>
        <v>-1.3318651110037596E-2</v>
      </c>
    </row>
    <row r="324" spans="1:12" x14ac:dyDescent="0.25">
      <c r="A324" s="5">
        <v>43346</v>
      </c>
      <c r="B324" s="4">
        <v>1037.530029</v>
      </c>
      <c r="C324" s="4">
        <v>306.35000600000001</v>
      </c>
      <c r="D324" s="4">
        <v>334.14999399999999</v>
      </c>
      <c r="E324" s="4">
        <v>1897</v>
      </c>
      <c r="F324" s="4">
        <v>631.79998799999998</v>
      </c>
      <c r="G324" s="3">
        <f>IF('Value at Risk'!$C$5=0,'Market Data - EQ'!B324-'Market Data - EQ'!B325,IF('Value at Risk'!$C$6=0,('Market Data - EQ'!B324-'Market Data - EQ'!B325)/'Market Data - EQ'!B325,LN('Market Data - EQ'!B324/'Market Data - EQ'!B325)))</f>
        <v>6.7242898907267619E-3</v>
      </c>
      <c r="H324" s="3">
        <f>IF('Value at Risk'!$C$5=0,'Market Data - EQ'!C324-'Market Data - EQ'!C325,IF('Value at Risk'!$C$6=0,('Market Data - EQ'!C324-'Market Data - EQ'!C325)/'Market Data - EQ'!C325,LN('Market Data - EQ'!C324/'Market Data - EQ'!C325)))</f>
        <v>-1.0497415817233543E-2</v>
      </c>
      <c r="I324" s="3">
        <f>IF('Value at Risk'!$C$5=0,'Market Data - EQ'!D324-'Market Data - EQ'!D325,IF('Value at Risk'!$C$6=0,('Market Data - EQ'!D324-'Market Data - EQ'!D325)/'Market Data - EQ'!D325,LN('Market Data - EQ'!D324/'Market Data - EQ'!D325)))</f>
        <v>-2.4664366176339225E-2</v>
      </c>
      <c r="J324" s="3">
        <f>IF('Value at Risk'!$C$5=0,'Market Data - EQ'!E324-'Market Data - EQ'!E325,IF('Value at Risk'!$C$6=0,('Market Data - EQ'!E324-'Market Data - EQ'!E325)/'Market Data - EQ'!E325,LN('Market Data - EQ'!E324/'Market Data - EQ'!E325)))</f>
        <v>-5.0351285643779791E-3</v>
      </c>
      <c r="K324" s="3">
        <f>IF('Value at Risk'!$C$5=0,'Market Data - EQ'!F324-'Market Data - EQ'!F325,IF('Value at Risk'!$C$6=0,('Market Data - EQ'!F324-'Market Data - EQ'!F325)/'Market Data - EQ'!F325,LN('Market Data - EQ'!F324/'Market Data - EQ'!F325)))</f>
        <v>-2.6877184443588779E-2</v>
      </c>
      <c r="L324" s="8">
        <f t="shared" ref="L324:L387" si="5">AVERAGE(G324:K324)</f>
        <v>-1.2069961022162554E-2</v>
      </c>
    </row>
    <row r="325" spans="1:12" x14ac:dyDescent="0.25">
      <c r="A325" s="5">
        <v>43343</v>
      </c>
      <c r="B325" s="4">
        <v>1030.599976</v>
      </c>
      <c r="C325" s="4">
        <v>309.60000600000001</v>
      </c>
      <c r="D325" s="4">
        <v>342.60000600000001</v>
      </c>
      <c r="E325" s="4">
        <v>1906.599976</v>
      </c>
      <c r="F325" s="4">
        <v>649.25</v>
      </c>
      <c r="G325" s="3">
        <f>IF('Value at Risk'!$C$5=0,'Market Data - EQ'!B325-'Market Data - EQ'!B326,IF('Value at Risk'!$C$6=0,('Market Data - EQ'!B325-'Market Data - EQ'!B326)/'Market Data - EQ'!B326,LN('Market Data - EQ'!B325/'Market Data - EQ'!B326)))</f>
        <v>-2.3716885763392236E-3</v>
      </c>
      <c r="H325" s="3">
        <f>IF('Value at Risk'!$C$5=0,'Market Data - EQ'!C325-'Market Data - EQ'!C326,IF('Value at Risk'!$C$6=0,('Market Data - EQ'!C325-'Market Data - EQ'!C326)/'Market Data - EQ'!C326,LN('Market Data - EQ'!C325/'Market Data - EQ'!C326)))</f>
        <v>3.2404406369324567E-3</v>
      </c>
      <c r="I325" s="3">
        <f>IF('Value at Risk'!$C$5=0,'Market Data - EQ'!D325-'Market Data - EQ'!D326,IF('Value at Risk'!$C$6=0,('Market Data - EQ'!D325-'Market Data - EQ'!D326)/'Market Data - EQ'!D326,LN('Market Data - EQ'!D325/'Market Data - EQ'!D326)))</f>
        <v>-5.082038534943426E-3</v>
      </c>
      <c r="J325" s="3">
        <f>IF('Value at Risk'!$C$5=0,'Market Data - EQ'!E325-'Market Data - EQ'!E326,IF('Value at Risk'!$C$6=0,('Market Data - EQ'!E325-'Market Data - EQ'!E326)/'Market Data - EQ'!E326,LN('Market Data - EQ'!E325/'Market Data - EQ'!E326)))</f>
        <v>1.6500920536335589E-2</v>
      </c>
      <c r="K325" s="3">
        <f>IF('Value at Risk'!$C$5=0,'Market Data - EQ'!F325-'Market Data - EQ'!F326,IF('Value at Risk'!$C$6=0,('Market Data - EQ'!F325-'Market Data - EQ'!F326)/'Market Data - EQ'!F326,LN('Market Data - EQ'!F325/'Market Data - EQ'!F326)))</f>
        <v>-7.6952674105425169E-4</v>
      </c>
      <c r="L325" s="8">
        <f t="shared" si="5"/>
        <v>2.303621464186229E-3</v>
      </c>
    </row>
    <row r="326" spans="1:12" x14ac:dyDescent="0.25">
      <c r="A326" s="5">
        <v>43342</v>
      </c>
      <c r="B326" s="4">
        <v>1033.0500489999999</v>
      </c>
      <c r="C326" s="4">
        <v>308.60000600000001</v>
      </c>
      <c r="D326" s="4">
        <v>344.35000600000001</v>
      </c>
      <c r="E326" s="4">
        <v>1875.650024</v>
      </c>
      <c r="F326" s="4">
        <v>649.75</v>
      </c>
      <c r="G326" s="3">
        <f>IF('Value at Risk'!$C$5=0,'Market Data - EQ'!B326-'Market Data - EQ'!B327,IF('Value at Risk'!$C$6=0,('Market Data - EQ'!B326-'Market Data - EQ'!B327)/'Market Data - EQ'!B327,LN('Market Data - EQ'!B326/'Market Data - EQ'!B327)))</f>
        <v>-5.9657936011547324E-3</v>
      </c>
      <c r="H326" s="3">
        <f>IF('Value at Risk'!$C$5=0,'Market Data - EQ'!C326-'Market Data - EQ'!C327,IF('Value at Risk'!$C$6=0,('Market Data - EQ'!C326-'Market Data - EQ'!C327)/'Market Data - EQ'!C327,LN('Market Data - EQ'!C326/'Market Data - EQ'!C327)))</f>
        <v>-3.5518435821048902E-3</v>
      </c>
      <c r="I326" s="3">
        <f>IF('Value at Risk'!$C$5=0,'Market Data - EQ'!D326-'Market Data - EQ'!D327,IF('Value at Risk'!$C$6=0,('Market Data - EQ'!D326-'Market Data - EQ'!D327)/'Market Data - EQ'!D327,LN('Market Data - EQ'!D326/'Market Data - EQ'!D327)))</f>
        <v>1.0861623558402339E-2</v>
      </c>
      <c r="J326" s="3">
        <f>IF('Value at Risk'!$C$5=0,'Market Data - EQ'!E326-'Market Data - EQ'!E327,IF('Value at Risk'!$C$6=0,('Market Data - EQ'!E326-'Market Data - EQ'!E327)/'Market Data - EQ'!E327,LN('Market Data - EQ'!E326/'Market Data - EQ'!E327)))</f>
        <v>-1.5691020561591093E-2</v>
      </c>
      <c r="K326" s="3">
        <f>IF('Value at Risk'!$C$5=0,'Market Data - EQ'!F326-'Market Data - EQ'!F327,IF('Value at Risk'!$C$6=0,('Market Data - EQ'!F326-'Market Data - EQ'!F327)/'Market Data - EQ'!F327,LN('Market Data - EQ'!F326/'Market Data - EQ'!F327)))</f>
        <v>-1.0884493437010485E-2</v>
      </c>
      <c r="L326" s="8">
        <f t="shared" si="5"/>
        <v>-5.0463055246917719E-3</v>
      </c>
    </row>
    <row r="327" spans="1:12" x14ac:dyDescent="0.25">
      <c r="A327" s="5">
        <v>43341</v>
      </c>
      <c r="B327" s="4">
        <v>1039.25</v>
      </c>
      <c r="C327" s="4">
        <v>309.70001200000002</v>
      </c>
      <c r="D327" s="4">
        <v>340.64999399999999</v>
      </c>
      <c r="E327" s="4">
        <v>1905.5500489999999</v>
      </c>
      <c r="F327" s="4">
        <v>656.90002400000003</v>
      </c>
      <c r="G327" s="3">
        <f>IF('Value at Risk'!$C$5=0,'Market Data - EQ'!B327-'Market Data - EQ'!B328,IF('Value at Risk'!$C$6=0,('Market Data - EQ'!B327-'Market Data - EQ'!B328)/'Market Data - EQ'!B328,LN('Market Data - EQ'!B327/'Market Data - EQ'!B328)))</f>
        <v>-7.8096422465264949E-3</v>
      </c>
      <c r="H327" s="3">
        <f>IF('Value at Risk'!$C$5=0,'Market Data - EQ'!C327-'Market Data - EQ'!C328,IF('Value at Risk'!$C$6=0,('Market Data - EQ'!C327-'Market Data - EQ'!C328)/'Market Data - EQ'!C328,LN('Market Data - EQ'!C327/'Market Data - EQ'!C328)))</f>
        <v>1.424596664327561E-2</v>
      </c>
      <c r="I327" s="3">
        <f>IF('Value at Risk'!$C$5=0,'Market Data - EQ'!D327-'Market Data - EQ'!D328,IF('Value at Risk'!$C$6=0,('Market Data - EQ'!D327-'Market Data - EQ'!D328)/'Market Data - EQ'!D328,LN('Market Data - EQ'!D327/'Market Data - EQ'!D328)))</f>
        <v>5.1637652138760443E-3</v>
      </c>
      <c r="J327" s="3">
        <f>IF('Value at Risk'!$C$5=0,'Market Data - EQ'!E327-'Market Data - EQ'!E328,IF('Value at Risk'!$C$6=0,('Market Data - EQ'!E327-'Market Data - EQ'!E328)/'Market Data - EQ'!E328,LN('Market Data - EQ'!E327/'Market Data - EQ'!E328)))</f>
        <v>-1.4532089391166934E-2</v>
      </c>
      <c r="K327" s="3">
        <f>IF('Value at Risk'!$C$5=0,'Market Data - EQ'!F327-'Market Data - EQ'!F328,IF('Value at Risk'!$C$6=0,('Market Data - EQ'!F327-'Market Data - EQ'!F328)/'Market Data - EQ'!F328,LN('Market Data - EQ'!F327/'Market Data - EQ'!F328)))</f>
        <v>-4.7723112753089766E-3</v>
      </c>
      <c r="L327" s="8">
        <f t="shared" si="5"/>
        <v>-1.5408622111701502E-3</v>
      </c>
    </row>
    <row r="328" spans="1:12" x14ac:dyDescent="0.25">
      <c r="A328" s="5">
        <v>43340</v>
      </c>
      <c r="B328" s="4">
        <v>1047.4300539999999</v>
      </c>
      <c r="C328" s="4">
        <v>305.35000600000001</v>
      </c>
      <c r="D328" s="4">
        <v>338.89999399999999</v>
      </c>
      <c r="E328" s="4">
        <v>1933.650024</v>
      </c>
      <c r="F328" s="4">
        <v>660.04998799999998</v>
      </c>
      <c r="G328" s="3">
        <f>IF('Value at Risk'!$C$5=0,'Market Data - EQ'!B328-'Market Data - EQ'!B329,IF('Value at Risk'!$C$6=0,('Market Data - EQ'!B328-'Market Data - EQ'!B329)/'Market Data - EQ'!B329,LN('Market Data - EQ'!B328/'Market Data - EQ'!B329)))</f>
        <v>6.9313060708386847E-3</v>
      </c>
      <c r="H328" s="3">
        <f>IF('Value at Risk'!$C$5=0,'Market Data - EQ'!C328-'Market Data - EQ'!C329,IF('Value at Risk'!$C$6=0,('Market Data - EQ'!C328-'Market Data - EQ'!C329)/'Market Data - EQ'!C329,LN('Market Data - EQ'!C328/'Market Data - EQ'!C329)))</f>
        <v>-8.6038766233765985E-3</v>
      </c>
      <c r="I328" s="3">
        <f>IF('Value at Risk'!$C$5=0,'Market Data - EQ'!D328-'Market Data - EQ'!D329,IF('Value at Risk'!$C$6=0,('Market Data - EQ'!D328-'Market Data - EQ'!D329)/'Market Data - EQ'!D329,LN('Market Data - EQ'!D328/'Market Data - EQ'!D329)))</f>
        <v>-2.9420418289268931E-3</v>
      </c>
      <c r="J328" s="3">
        <f>IF('Value at Risk'!$C$5=0,'Market Data - EQ'!E328-'Market Data - EQ'!E329,IF('Value at Risk'!$C$6=0,('Market Data - EQ'!E328-'Market Data - EQ'!E329)/'Market Data - EQ'!E329,LN('Market Data - EQ'!E328/'Market Data - EQ'!E329)))</f>
        <v>-9.070618913928713E-3</v>
      </c>
      <c r="K328" s="3">
        <f>IF('Value at Risk'!$C$5=0,'Market Data - EQ'!F328-'Market Data - EQ'!F329,IF('Value at Risk'!$C$6=0,('Market Data - EQ'!F328-'Market Data - EQ'!F329)/'Market Data - EQ'!F329,LN('Market Data - EQ'!F328/'Market Data - EQ'!F329)))</f>
        <v>1.5149147674884955E-2</v>
      </c>
      <c r="L328" s="8">
        <f t="shared" si="5"/>
        <v>2.9278327589828715E-4</v>
      </c>
    </row>
    <row r="329" spans="1:12" x14ac:dyDescent="0.25">
      <c r="A329" s="5">
        <v>43339</v>
      </c>
      <c r="B329" s="4">
        <v>1040.219971</v>
      </c>
      <c r="C329" s="4">
        <v>308</v>
      </c>
      <c r="D329" s="4">
        <v>339.89999399999999</v>
      </c>
      <c r="E329" s="4">
        <v>1951.349976</v>
      </c>
      <c r="F329" s="4">
        <v>650.20001200000002</v>
      </c>
      <c r="G329" s="3">
        <f>IF('Value at Risk'!$C$5=0,'Market Data - EQ'!B329-'Market Data - EQ'!B330,IF('Value at Risk'!$C$6=0,('Market Data - EQ'!B329-'Market Data - EQ'!B330)/'Market Data - EQ'!B330,LN('Market Data - EQ'!B329/'Market Data - EQ'!B330)))</f>
        <v>5.111376348145031E-3</v>
      </c>
      <c r="H329" s="3">
        <f>IF('Value at Risk'!$C$5=0,'Market Data - EQ'!C329-'Market Data - EQ'!C330,IF('Value at Risk'!$C$6=0,('Market Data - EQ'!C329-'Market Data - EQ'!C330)/'Market Data - EQ'!C330,LN('Market Data - EQ'!C329/'Market Data - EQ'!C330)))</f>
        <v>2.5128932263114651E-2</v>
      </c>
      <c r="I329" s="3">
        <f>IF('Value at Risk'!$C$5=0,'Market Data - EQ'!D329-'Market Data - EQ'!D330,IF('Value at Risk'!$C$6=0,('Market Data - EQ'!D329-'Market Data - EQ'!D330)/'Market Data - EQ'!D330,LN('Market Data - EQ'!D329/'Market Data - EQ'!D330)))</f>
        <v>2.9532031431749779E-2</v>
      </c>
      <c r="J329" s="3">
        <f>IF('Value at Risk'!$C$5=0,'Market Data - EQ'!E329-'Market Data - EQ'!E330,IF('Value at Risk'!$C$6=0,('Market Data - EQ'!E329-'Market Data - EQ'!E330)/'Market Data - EQ'!E330,LN('Market Data - EQ'!E329/'Market Data - EQ'!E330)))</f>
        <v>1.2032233856923126E-2</v>
      </c>
      <c r="K329" s="3">
        <f>IF('Value at Risk'!$C$5=0,'Market Data - EQ'!F329-'Market Data - EQ'!F330,IF('Value at Risk'!$C$6=0,('Market Data - EQ'!F329-'Market Data - EQ'!F330)/'Market Data - EQ'!F330,LN('Market Data - EQ'!F329/'Market Data - EQ'!F330)))</f>
        <v>1.609624568477901E-2</v>
      </c>
      <c r="L329" s="8">
        <f t="shared" si="5"/>
        <v>1.7580163916942317E-2</v>
      </c>
    </row>
    <row r="330" spans="1:12" x14ac:dyDescent="0.25">
      <c r="A330" s="5">
        <v>43336</v>
      </c>
      <c r="B330" s="4">
        <v>1034.9300539999999</v>
      </c>
      <c r="C330" s="4">
        <v>300.45001200000002</v>
      </c>
      <c r="D330" s="4">
        <v>330.14999399999999</v>
      </c>
      <c r="E330" s="4">
        <v>1928.150024</v>
      </c>
      <c r="F330" s="4">
        <v>639.90002400000003</v>
      </c>
      <c r="G330" s="3">
        <f>IF('Value at Risk'!$C$5=0,'Market Data - EQ'!B330-'Market Data - EQ'!B331,IF('Value at Risk'!$C$6=0,('Market Data - EQ'!B330-'Market Data - EQ'!B331)/'Market Data - EQ'!B331,LN('Market Data - EQ'!B330/'Market Data - EQ'!B331)))</f>
        <v>-4.8270563359064265E-3</v>
      </c>
      <c r="H330" s="3">
        <f>IF('Value at Risk'!$C$5=0,'Market Data - EQ'!C330-'Market Data - EQ'!C331,IF('Value at Risk'!$C$6=0,('Market Data - EQ'!C330-'Market Data - EQ'!C331)/'Market Data - EQ'!C331,LN('Market Data - EQ'!C330/'Market Data - EQ'!C331)))</f>
        <v>-6.6126629877601055E-3</v>
      </c>
      <c r="I330" s="3">
        <f>IF('Value at Risk'!$C$5=0,'Market Data - EQ'!D330-'Market Data - EQ'!D331,IF('Value at Risk'!$C$6=0,('Market Data - EQ'!D330-'Market Data - EQ'!D331)/'Market Data - EQ'!D331,LN('Market Data - EQ'!D330/'Market Data - EQ'!D331)))</f>
        <v>-2.0907525946351455E-2</v>
      </c>
      <c r="J330" s="3">
        <f>IF('Value at Risk'!$C$5=0,'Market Data - EQ'!E330-'Market Data - EQ'!E331,IF('Value at Risk'!$C$6=0,('Market Data - EQ'!E330-'Market Data - EQ'!E331)/'Market Data - EQ'!E331,LN('Market Data - EQ'!E330/'Market Data - EQ'!E331)))</f>
        <v>-1.4842595405317393E-2</v>
      </c>
      <c r="K330" s="3">
        <f>IF('Value at Risk'!$C$5=0,'Market Data - EQ'!F330-'Market Data - EQ'!F331,IF('Value at Risk'!$C$6=0,('Market Data - EQ'!F330-'Market Data - EQ'!F331)/'Market Data - EQ'!F331,LN('Market Data - EQ'!F330/'Market Data - EQ'!F331)))</f>
        <v>1.2900710724178916E-2</v>
      </c>
      <c r="L330" s="8">
        <f t="shared" si="5"/>
        <v>-6.8578259902312933E-3</v>
      </c>
    </row>
    <row r="331" spans="1:12" x14ac:dyDescent="0.25">
      <c r="A331" s="5">
        <v>43335</v>
      </c>
      <c r="B331" s="4">
        <v>1039.9499510000001</v>
      </c>
      <c r="C331" s="4">
        <v>302.45001200000002</v>
      </c>
      <c r="D331" s="4">
        <v>337.20001200000002</v>
      </c>
      <c r="E331" s="4">
        <v>1957.1999510000001</v>
      </c>
      <c r="F331" s="4">
        <v>631.75</v>
      </c>
      <c r="G331" s="3">
        <f>IF('Value at Risk'!$C$5=0,'Market Data - EQ'!B331-'Market Data - EQ'!B332,IF('Value at Risk'!$C$6=0,('Market Data - EQ'!B331-'Market Data - EQ'!B332)/'Market Data - EQ'!B332,LN('Market Data - EQ'!B331/'Market Data - EQ'!B332)))</f>
        <v>-7.709777178531549E-3</v>
      </c>
      <c r="H331" s="3">
        <f>IF('Value at Risk'!$C$5=0,'Market Data - EQ'!C331-'Market Data - EQ'!C332,IF('Value at Risk'!$C$6=0,('Market Data - EQ'!C331-'Market Data - EQ'!C332)/'Market Data - EQ'!C332,LN('Market Data - EQ'!C331/'Market Data - EQ'!C332)))</f>
        <v>-1.4820807817589527E-2</v>
      </c>
      <c r="I331" s="3">
        <f>IF('Value at Risk'!$C$5=0,'Market Data - EQ'!D331-'Market Data - EQ'!D332,IF('Value at Risk'!$C$6=0,('Market Data - EQ'!D331-'Market Data - EQ'!D332)/'Market Data - EQ'!D332,LN('Market Data - EQ'!D331/'Market Data - EQ'!D332)))</f>
        <v>-4.869393450741129E-3</v>
      </c>
      <c r="J331" s="3">
        <f>IF('Value at Risk'!$C$5=0,'Market Data - EQ'!E331-'Market Data - EQ'!E332,IF('Value at Risk'!$C$6=0,('Market Data - EQ'!E331-'Market Data - EQ'!E332)/'Market Data - EQ'!E332,LN('Market Data - EQ'!E331/'Market Data - EQ'!E332)))</f>
        <v>-9.4891067410441711E-3</v>
      </c>
      <c r="K331" s="3">
        <f>IF('Value at Risk'!$C$5=0,'Market Data - EQ'!F331-'Market Data - EQ'!F332,IF('Value at Risk'!$C$6=0,('Market Data - EQ'!F331-'Market Data - EQ'!F332)/'Market Data - EQ'!F332,LN('Market Data - EQ'!F331/'Market Data - EQ'!F332)))</f>
        <v>-6.291781360597719E-3</v>
      </c>
      <c r="L331" s="8">
        <f t="shared" si="5"/>
        <v>-8.6361733097008193E-3</v>
      </c>
    </row>
    <row r="332" spans="1:12" x14ac:dyDescent="0.25">
      <c r="A332" s="5">
        <v>43333</v>
      </c>
      <c r="B332" s="4">
        <v>1048.030029</v>
      </c>
      <c r="C332" s="4">
        <v>307</v>
      </c>
      <c r="D332" s="4">
        <v>338.85000600000001</v>
      </c>
      <c r="E332" s="4">
        <v>1975.9499510000001</v>
      </c>
      <c r="F332" s="4">
        <v>635.75</v>
      </c>
      <c r="G332" s="3">
        <f>IF('Value at Risk'!$C$5=0,'Market Data - EQ'!B332-'Market Data - EQ'!B333,IF('Value at Risk'!$C$6=0,('Market Data - EQ'!B332-'Market Data - EQ'!B333)/'Market Data - EQ'!B333,LN('Market Data - EQ'!B332/'Market Data - EQ'!B333)))</f>
        <v>-6.6736954109000444E-5</v>
      </c>
      <c r="H332" s="3">
        <f>IF('Value at Risk'!$C$5=0,'Market Data - EQ'!C332-'Market Data - EQ'!C333,IF('Value at Risk'!$C$6=0,('Market Data - EQ'!C332-'Market Data - EQ'!C333)/'Market Data - EQ'!C333,LN('Market Data - EQ'!C332/'Market Data - EQ'!C333)))</f>
        <v>-2.1127710472180032E-3</v>
      </c>
      <c r="I332" s="3">
        <f>IF('Value at Risk'!$C$5=0,'Market Data - EQ'!D332-'Market Data - EQ'!D333,IF('Value at Risk'!$C$6=0,('Market Data - EQ'!D332-'Market Data - EQ'!D333)/'Market Data - EQ'!D333,LN('Market Data - EQ'!D332/'Market Data - EQ'!D333)))</f>
        <v>1.1818407026677618E-3</v>
      </c>
      <c r="J332" s="3">
        <f>IF('Value at Risk'!$C$5=0,'Market Data - EQ'!E332-'Market Data - EQ'!E333,IF('Value at Risk'!$C$6=0,('Market Data - EQ'!E332-'Market Data - EQ'!E333)/'Market Data - EQ'!E333,LN('Market Data - EQ'!E332/'Market Data - EQ'!E333)))</f>
        <v>-7.5340919506619985E-3</v>
      </c>
      <c r="K332" s="3">
        <f>IF('Value at Risk'!$C$5=0,'Market Data - EQ'!F332-'Market Data - EQ'!F333,IF('Value at Risk'!$C$6=0,('Market Data - EQ'!F332-'Market Data - EQ'!F333)/'Market Data - EQ'!F333,LN('Market Data - EQ'!F332/'Market Data - EQ'!F333)))</f>
        <v>1.8177411216755444E-2</v>
      </c>
      <c r="L332" s="8">
        <f t="shared" si="5"/>
        <v>1.9291303934868408E-3</v>
      </c>
    </row>
    <row r="333" spans="1:12" x14ac:dyDescent="0.25">
      <c r="A333" s="5">
        <v>43332</v>
      </c>
      <c r="B333" s="4">
        <v>1048.099976</v>
      </c>
      <c r="C333" s="4">
        <v>307.64999399999999</v>
      </c>
      <c r="D333" s="4">
        <v>338.45001200000002</v>
      </c>
      <c r="E333" s="4">
        <v>1990.9499510000001</v>
      </c>
      <c r="F333" s="4">
        <v>624.40002400000003</v>
      </c>
      <c r="G333" s="3">
        <f>IF('Value at Risk'!$C$5=0,'Market Data - EQ'!B333-'Market Data - EQ'!B334,IF('Value at Risk'!$C$6=0,('Market Data - EQ'!B333-'Market Data - EQ'!B334)/'Market Data - EQ'!B334,LN('Market Data - EQ'!B333/'Market Data - EQ'!B334)))</f>
        <v>9.0691276526621775E-3</v>
      </c>
      <c r="H333" s="3">
        <f>IF('Value at Risk'!$C$5=0,'Market Data - EQ'!C333-'Market Data - EQ'!C334,IF('Value at Risk'!$C$6=0,('Market Data - EQ'!C333-'Market Data - EQ'!C334)/'Market Data - EQ'!C334,LN('Market Data - EQ'!C333/'Market Data - EQ'!C334)))</f>
        <v>1.8371360111790216E-2</v>
      </c>
      <c r="I333" s="3">
        <f>IF('Value at Risk'!$C$5=0,'Market Data - EQ'!D333-'Market Data - EQ'!D334,IF('Value at Risk'!$C$6=0,('Market Data - EQ'!D333-'Market Data - EQ'!D334)/'Market Data - EQ'!D334,LN('Market Data - EQ'!D333/'Market Data - EQ'!D334)))</f>
        <v>-4.5587882352940727E-3</v>
      </c>
      <c r="J333" s="3">
        <f>IF('Value at Risk'!$C$5=0,'Market Data - EQ'!E333-'Market Data - EQ'!E334,IF('Value at Risk'!$C$6=0,('Market Data - EQ'!E333-'Market Data - EQ'!E334)/'Market Data - EQ'!E334,LN('Market Data - EQ'!E333/'Market Data - EQ'!E334)))</f>
        <v>2.7628968718301479E-4</v>
      </c>
      <c r="K333" s="3">
        <f>IF('Value at Risk'!$C$5=0,'Market Data - EQ'!F333-'Market Data - EQ'!F334,IF('Value at Risk'!$C$6=0,('Market Data - EQ'!F333-'Market Data - EQ'!F334)/'Market Data - EQ'!F334,LN('Market Data - EQ'!F333/'Market Data - EQ'!F334)))</f>
        <v>-4.6229301059702152E-3</v>
      </c>
      <c r="L333" s="8">
        <f t="shared" si="5"/>
        <v>3.7070118220742234E-3</v>
      </c>
    </row>
    <row r="334" spans="1:12" x14ac:dyDescent="0.25">
      <c r="A334" s="5">
        <v>43329</v>
      </c>
      <c r="B334" s="4">
        <v>1038.6800539999999</v>
      </c>
      <c r="C334" s="4">
        <v>302.10000600000001</v>
      </c>
      <c r="D334" s="4">
        <v>340</v>
      </c>
      <c r="E334" s="4">
        <v>1990.400024</v>
      </c>
      <c r="F334" s="4">
        <v>627.29998799999998</v>
      </c>
      <c r="G334" s="3">
        <f>IF('Value at Risk'!$C$5=0,'Market Data - EQ'!B334-'Market Data - EQ'!B335,IF('Value at Risk'!$C$6=0,('Market Data - EQ'!B334-'Market Data - EQ'!B335)/'Market Data - EQ'!B335,LN('Market Data - EQ'!B334/'Market Data - EQ'!B335)))</f>
        <v>7.9980538535943241E-4</v>
      </c>
      <c r="H334" s="3">
        <f>IF('Value at Risk'!$C$5=0,'Market Data - EQ'!C334-'Market Data - EQ'!C335,IF('Value at Risk'!$C$6=0,('Market Data - EQ'!C334-'Market Data - EQ'!C335)/'Market Data - EQ'!C335,LN('Market Data - EQ'!C334/'Market Data - EQ'!C335)))</f>
        <v>3.2114771488290859E-2</v>
      </c>
      <c r="I334" s="3">
        <f>IF('Value at Risk'!$C$5=0,'Market Data - EQ'!D334-'Market Data - EQ'!D335,IF('Value at Risk'!$C$6=0,('Market Data - EQ'!D334-'Market Data - EQ'!D335)/'Market Data - EQ'!D335,LN('Market Data - EQ'!D334/'Market Data - EQ'!D335)))</f>
        <v>1.7050589903102285E-2</v>
      </c>
      <c r="J334" s="3">
        <f>IF('Value at Risk'!$C$5=0,'Market Data - EQ'!E334-'Market Data - EQ'!E335,IF('Value at Risk'!$C$6=0,('Market Data - EQ'!E334-'Market Data - EQ'!E335)/'Market Data - EQ'!E335,LN('Market Data - EQ'!E334/'Market Data - EQ'!E335)))</f>
        <v>3.1247218794029567E-3</v>
      </c>
      <c r="K334" s="3">
        <f>IF('Value at Risk'!$C$5=0,'Market Data - EQ'!F334-'Market Data - EQ'!F335,IF('Value at Risk'!$C$6=0,('Market Data - EQ'!F334-'Market Data - EQ'!F335)/'Market Data - EQ'!F335,LN('Market Data - EQ'!F334/'Market Data - EQ'!F335)))</f>
        <v>6.1752761663271399E-3</v>
      </c>
      <c r="L334" s="8">
        <f t="shared" si="5"/>
        <v>1.1853032964496534E-2</v>
      </c>
    </row>
    <row r="335" spans="1:12" x14ac:dyDescent="0.25">
      <c r="A335" s="5">
        <v>43328</v>
      </c>
      <c r="B335" s="4">
        <v>1037.849976</v>
      </c>
      <c r="C335" s="4">
        <v>292.70001200000002</v>
      </c>
      <c r="D335" s="4">
        <v>334.29998799999998</v>
      </c>
      <c r="E335" s="4">
        <v>1984.1999510000001</v>
      </c>
      <c r="F335" s="4">
        <v>623.45001200000002</v>
      </c>
      <c r="G335" s="3">
        <f>IF('Value at Risk'!$C$5=0,'Market Data - EQ'!B335-'Market Data - EQ'!B336,IF('Value at Risk'!$C$6=0,('Market Data - EQ'!B335-'Market Data - EQ'!B336)/'Market Data - EQ'!B336,LN('Market Data - EQ'!B335/'Market Data - EQ'!B336)))</f>
        <v>-6.4143149544766097E-3</v>
      </c>
      <c r="H335" s="3">
        <f>IF('Value at Risk'!$C$5=0,'Market Data - EQ'!C335-'Market Data - EQ'!C336,IF('Value at Risk'!$C$6=0,('Market Data - EQ'!C335-'Market Data - EQ'!C336)/'Market Data - EQ'!C336,LN('Market Data - EQ'!C335/'Market Data - EQ'!C336)))</f>
        <v>-7.4600950992219327E-3</v>
      </c>
      <c r="I335" s="3">
        <f>IF('Value at Risk'!$C$5=0,'Market Data - EQ'!D335-'Market Data - EQ'!D336,IF('Value at Risk'!$C$6=0,('Market Data - EQ'!D335-'Market Data - EQ'!D336)/'Market Data - EQ'!D336,LN('Market Data - EQ'!D335/'Market Data - EQ'!D336)))</f>
        <v>5.5646741862652406E-3</v>
      </c>
      <c r="J335" s="3">
        <f>IF('Value at Risk'!$C$5=0,'Market Data - EQ'!E335-'Market Data - EQ'!E336,IF('Value at Risk'!$C$6=0,('Market Data - EQ'!E335-'Market Data - EQ'!E336)/'Market Data - EQ'!E336,LN('Market Data - EQ'!E335/'Market Data - EQ'!E336)))</f>
        <v>-6.7080622552029481E-3</v>
      </c>
      <c r="K335" s="3">
        <f>IF('Value at Risk'!$C$5=0,'Market Data - EQ'!F335-'Market Data - EQ'!F336,IF('Value at Risk'!$C$6=0,('Market Data - EQ'!F335-'Market Data - EQ'!F336)/'Market Data - EQ'!F336,LN('Market Data - EQ'!F335/'Market Data - EQ'!F336)))</f>
        <v>8.7371961893801219E-3</v>
      </c>
      <c r="L335" s="8">
        <f t="shared" si="5"/>
        <v>-1.2561203866512255E-3</v>
      </c>
    </row>
    <row r="336" spans="1:12" x14ac:dyDescent="0.25">
      <c r="A336" s="5">
        <v>43326</v>
      </c>
      <c r="B336" s="4">
        <v>1044.5500489999999</v>
      </c>
      <c r="C336" s="4">
        <v>294.89999399999999</v>
      </c>
      <c r="D336" s="4">
        <v>332.45001200000002</v>
      </c>
      <c r="E336" s="4">
        <v>1997.599976</v>
      </c>
      <c r="F336" s="4">
        <v>618.04998799999998</v>
      </c>
      <c r="G336" s="3">
        <f>IF('Value at Risk'!$C$5=0,'Market Data - EQ'!B336-'Market Data - EQ'!B337,IF('Value at Risk'!$C$6=0,('Market Data - EQ'!B336-'Market Data - EQ'!B337)/'Market Data - EQ'!B337,LN('Market Data - EQ'!B336/'Market Data - EQ'!B337)))</f>
        <v>-1.2142596867244374E-3</v>
      </c>
      <c r="H336" s="3">
        <f>IF('Value at Risk'!$C$5=0,'Market Data - EQ'!C336-'Market Data - EQ'!C337,IF('Value at Risk'!$C$6=0,('Market Data - EQ'!C336-'Market Data - EQ'!C337)/'Market Data - EQ'!C337,LN('Market Data - EQ'!C336/'Market Data - EQ'!C337)))</f>
        <v>2.5497195828601649E-3</v>
      </c>
      <c r="I336" s="3">
        <f>IF('Value at Risk'!$C$5=0,'Market Data - EQ'!D336-'Market Data - EQ'!D337,IF('Value at Risk'!$C$6=0,('Market Data - EQ'!D336-'Market Data - EQ'!D337)/'Market Data - EQ'!D337,LN('Market Data - EQ'!D336/'Market Data - EQ'!D337)))</f>
        <v>2.3237975190605952E-2</v>
      </c>
      <c r="J336" s="3">
        <f>IF('Value at Risk'!$C$5=0,'Market Data - EQ'!E336-'Market Data - EQ'!E337,IF('Value at Risk'!$C$6=0,('Market Data - EQ'!E336-'Market Data - EQ'!E337)/'Market Data - EQ'!E337,LN('Market Data - EQ'!E336/'Market Data - EQ'!E337)))</f>
        <v>1.855635666515213E-3</v>
      </c>
      <c r="K336" s="3">
        <f>IF('Value at Risk'!$C$5=0,'Market Data - EQ'!F336-'Market Data - EQ'!F337,IF('Value at Risk'!$C$6=0,('Market Data - EQ'!F336-'Market Data - EQ'!F337)/'Market Data - EQ'!F337,LN('Market Data - EQ'!F336/'Market Data - EQ'!F337)))</f>
        <v>2.1739070058294382E-2</v>
      </c>
      <c r="L336" s="8">
        <f t="shared" si="5"/>
        <v>9.6336281623102555E-3</v>
      </c>
    </row>
    <row r="337" spans="1:12" x14ac:dyDescent="0.25">
      <c r="A337" s="5">
        <v>43325</v>
      </c>
      <c r="B337" s="4">
        <v>1045.8199460000001</v>
      </c>
      <c r="C337" s="4">
        <v>294.14999399999999</v>
      </c>
      <c r="D337" s="4">
        <v>324.89999399999999</v>
      </c>
      <c r="E337" s="4">
        <v>1993.900024</v>
      </c>
      <c r="F337" s="4">
        <v>604.90002400000003</v>
      </c>
      <c r="G337" s="3">
        <f>IF('Value at Risk'!$C$5=0,'Market Data - EQ'!B337-'Market Data - EQ'!B338,IF('Value at Risk'!$C$6=0,('Market Data - EQ'!B337-'Market Data - EQ'!B338)/'Market Data - EQ'!B338,LN('Market Data - EQ'!B337/'Market Data - EQ'!B338)))</f>
        <v>-1.0783020859147121E-2</v>
      </c>
      <c r="H337" s="3">
        <f>IF('Value at Risk'!$C$5=0,'Market Data - EQ'!C337-'Market Data - EQ'!C338,IF('Value at Risk'!$C$6=0,('Market Data - EQ'!C337-'Market Data - EQ'!C338)/'Market Data - EQ'!C338,LN('Market Data - EQ'!C337/'Market Data - EQ'!C338)))</f>
        <v>-3.3831557214719449E-2</v>
      </c>
      <c r="I337" s="3">
        <f>IF('Value at Risk'!$C$5=0,'Market Data - EQ'!D337-'Market Data - EQ'!D338,IF('Value at Risk'!$C$6=0,('Market Data - EQ'!D337-'Market Data - EQ'!D338)/'Market Data - EQ'!D338,LN('Market Data - EQ'!D337/'Market Data - EQ'!D338)))</f>
        <v>-1.1259926757274663E-2</v>
      </c>
      <c r="J337" s="3">
        <f>IF('Value at Risk'!$C$5=0,'Market Data - EQ'!E337-'Market Data - EQ'!E338,IF('Value at Risk'!$C$6=0,('Market Data - EQ'!E337-'Market Data - EQ'!E338)/'Market Data - EQ'!E338,LN('Market Data - EQ'!E337/'Market Data - EQ'!E338)))</f>
        <v>7.2745764081839004E-3</v>
      </c>
      <c r="K337" s="3">
        <f>IF('Value at Risk'!$C$5=0,'Market Data - EQ'!F337-'Market Data - EQ'!F338,IF('Value at Risk'!$C$6=0,('Market Data - EQ'!F337-'Market Data - EQ'!F338)/'Market Data - EQ'!F338,LN('Market Data - EQ'!F337/'Market Data - EQ'!F338)))</f>
        <v>-1.7221731925263963E-2</v>
      </c>
      <c r="L337" s="8">
        <f t="shared" si="5"/>
        <v>-1.3164332069644258E-2</v>
      </c>
    </row>
    <row r="338" spans="1:12" x14ac:dyDescent="0.25">
      <c r="A338" s="5">
        <v>43322</v>
      </c>
      <c r="B338" s="4">
        <v>1057.219971</v>
      </c>
      <c r="C338" s="4">
        <v>304.45001200000002</v>
      </c>
      <c r="D338" s="4">
        <v>328.60000600000001</v>
      </c>
      <c r="E338" s="4">
        <v>1979.5</v>
      </c>
      <c r="F338" s="4">
        <v>615.5</v>
      </c>
      <c r="G338" s="3">
        <f>IF('Value at Risk'!$C$5=0,'Market Data - EQ'!B338-'Market Data - EQ'!B339,IF('Value at Risk'!$C$6=0,('Market Data - EQ'!B338-'Market Data - EQ'!B339)/'Market Data - EQ'!B339,LN('Market Data - EQ'!B338/'Market Data - EQ'!B339)))</f>
        <v>-1.9164776964833733E-3</v>
      </c>
      <c r="H338" s="3">
        <f>IF('Value at Risk'!$C$5=0,'Market Data - EQ'!C338-'Market Data - EQ'!C339,IF('Value at Risk'!$C$6=0,('Market Data - EQ'!C338-'Market Data - EQ'!C339)/'Market Data - EQ'!C339,LN('Market Data - EQ'!C338/'Market Data - EQ'!C339)))</f>
        <v>-4.0800196108384229E-2</v>
      </c>
      <c r="I338" s="3">
        <f>IF('Value at Risk'!$C$5=0,'Market Data - EQ'!D338-'Market Data - EQ'!D339,IF('Value at Risk'!$C$6=0,('Market Data - EQ'!D338-'Market Data - EQ'!D339)/'Market Data - EQ'!D339,LN('Market Data - EQ'!D338/'Market Data - EQ'!D339)))</f>
        <v>-1.3213195195195173E-2</v>
      </c>
      <c r="J338" s="3">
        <f>IF('Value at Risk'!$C$5=0,'Market Data - EQ'!E338-'Market Data - EQ'!E339,IF('Value at Risk'!$C$6=0,('Market Data - EQ'!E338-'Market Data - EQ'!E339)/'Market Data - EQ'!E339,LN('Market Data - EQ'!E338/'Market Data - EQ'!E339)))</f>
        <v>-2.7959239631241885E-3</v>
      </c>
      <c r="K338" s="3">
        <f>IF('Value at Risk'!$C$5=0,'Market Data - EQ'!F338-'Market Data - EQ'!F339,IF('Value at Risk'!$C$6=0,('Market Data - EQ'!F338-'Market Data - EQ'!F339)/'Market Data - EQ'!F339,LN('Market Data - EQ'!F338/'Market Data - EQ'!F339)))</f>
        <v>-8.9364593949561189E-3</v>
      </c>
      <c r="L338" s="8">
        <f t="shared" si="5"/>
        <v>-1.3532450471628618E-2</v>
      </c>
    </row>
    <row r="339" spans="1:12" x14ac:dyDescent="0.25">
      <c r="A339" s="5">
        <v>43321</v>
      </c>
      <c r="B339" s="4">
        <v>1059.25</v>
      </c>
      <c r="C339" s="4">
        <v>317.39999399999999</v>
      </c>
      <c r="D339" s="4">
        <v>333</v>
      </c>
      <c r="E339" s="4">
        <v>1985.0500489999999</v>
      </c>
      <c r="F339" s="4">
        <v>621.04998799999998</v>
      </c>
      <c r="G339" s="3">
        <f>IF('Value at Risk'!$C$5=0,'Market Data - EQ'!B339-'Market Data - EQ'!B340,IF('Value at Risk'!$C$6=0,('Market Data - EQ'!B339-'Market Data - EQ'!B340)/'Market Data - EQ'!B340,LN('Market Data - EQ'!B339/'Market Data - EQ'!B340)))</f>
        <v>-8.3600643604602714E-3</v>
      </c>
      <c r="H339" s="3">
        <f>IF('Value at Risk'!$C$5=0,'Market Data - EQ'!C339-'Market Data - EQ'!C340,IF('Value at Risk'!$C$6=0,('Market Data - EQ'!C339-'Market Data - EQ'!C340)/'Market Data - EQ'!C340,LN('Market Data - EQ'!C339/'Market Data - EQ'!C340)))</f>
        <v>2.8182642247516262E-2</v>
      </c>
      <c r="I339" s="3">
        <f>IF('Value at Risk'!$C$5=0,'Market Data - EQ'!D339-'Market Data - EQ'!D340,IF('Value at Risk'!$C$6=0,('Market Data - EQ'!D339-'Market Data - EQ'!D340)/'Market Data - EQ'!D340,LN('Market Data - EQ'!D339/'Market Data - EQ'!D340)))</f>
        <v>4.4869744153006132E-2</v>
      </c>
      <c r="J339" s="3">
        <f>IF('Value at Risk'!$C$5=0,'Market Data - EQ'!E339-'Market Data - EQ'!E340,IF('Value at Risk'!$C$6=0,('Market Data - EQ'!E339-'Market Data - EQ'!E340)/'Market Data - EQ'!E340,LN('Market Data - EQ'!E339/'Market Data - EQ'!E340)))</f>
        <v>-7.797453234129512E-3</v>
      </c>
      <c r="K339" s="3">
        <f>IF('Value at Risk'!$C$5=0,'Market Data - EQ'!F339-'Market Data - EQ'!F340,IF('Value at Risk'!$C$6=0,('Market Data - EQ'!F339-'Market Data - EQ'!F340)/'Market Data - EQ'!F340,LN('Market Data - EQ'!F339/'Market Data - EQ'!F340)))</f>
        <v>4.1505954214441476E-2</v>
      </c>
      <c r="L339" s="8">
        <f t="shared" si="5"/>
        <v>1.9680164604074818E-2</v>
      </c>
    </row>
    <row r="340" spans="1:12" x14ac:dyDescent="0.25">
      <c r="A340" s="5">
        <v>43320</v>
      </c>
      <c r="B340" s="4">
        <v>1068.1800539999999</v>
      </c>
      <c r="C340" s="4">
        <v>308.70001200000002</v>
      </c>
      <c r="D340" s="4">
        <v>318.70001200000002</v>
      </c>
      <c r="E340" s="4">
        <v>2000.650024</v>
      </c>
      <c r="F340" s="4">
        <v>596.29998799999998</v>
      </c>
      <c r="G340" s="3">
        <f>IF('Value at Risk'!$C$5=0,'Market Data - EQ'!B340-'Market Data - EQ'!B341,IF('Value at Risk'!$C$6=0,('Market Data - EQ'!B340-'Market Data - EQ'!B341)/'Market Data - EQ'!B341,LN('Market Data - EQ'!B340/'Market Data - EQ'!B341)))</f>
        <v>2.5623944113353021E-3</v>
      </c>
      <c r="H340" s="3">
        <f>IF('Value at Risk'!$C$5=0,'Market Data - EQ'!C340-'Market Data - EQ'!C341,IF('Value at Risk'!$C$6=0,('Market Data - EQ'!C340-'Market Data - EQ'!C341)/'Market Data - EQ'!C341,LN('Market Data - EQ'!C340/'Market Data - EQ'!C341)))</f>
        <v>1.5293616785145311E-2</v>
      </c>
      <c r="I340" s="3">
        <f>IF('Value at Risk'!$C$5=0,'Market Data - EQ'!D340-'Market Data - EQ'!D341,IF('Value at Risk'!$C$6=0,('Market Data - EQ'!D340-'Market Data - EQ'!D341)/'Market Data - EQ'!D341,LN('Market Data - EQ'!D340/'Market Data - EQ'!D341)))</f>
        <v>1.772319369739481E-2</v>
      </c>
      <c r="J340" s="3">
        <f>IF('Value at Risk'!$C$5=0,'Market Data - EQ'!E340-'Market Data - EQ'!E341,IF('Value at Risk'!$C$6=0,('Market Data - EQ'!E340-'Market Data - EQ'!E341)/'Market Data - EQ'!E341,LN('Market Data - EQ'!E340/'Market Data - EQ'!E341)))</f>
        <v>3.1840619986867815E-3</v>
      </c>
      <c r="K340" s="3">
        <f>IF('Value at Risk'!$C$5=0,'Market Data - EQ'!F340-'Market Data - EQ'!F341,IF('Value at Risk'!$C$6=0,('Market Data - EQ'!F340-'Market Data - EQ'!F341)/'Market Data - EQ'!F341,LN('Market Data - EQ'!F340/'Market Data - EQ'!F341)))</f>
        <v>5.4801451239553855E-3</v>
      </c>
      <c r="L340" s="8">
        <f t="shared" si="5"/>
        <v>8.8486824033035174E-3</v>
      </c>
    </row>
    <row r="341" spans="1:12" x14ac:dyDescent="0.25">
      <c r="A341" s="5">
        <v>43319</v>
      </c>
      <c r="B341" s="4">
        <v>1065.4499510000001</v>
      </c>
      <c r="C341" s="4">
        <v>304.04998799999998</v>
      </c>
      <c r="D341" s="4">
        <v>313.14999399999999</v>
      </c>
      <c r="E341" s="4">
        <v>1994.3000489999999</v>
      </c>
      <c r="F341" s="4">
        <v>593.04998799999998</v>
      </c>
      <c r="G341" s="3">
        <f>IF('Value at Risk'!$C$5=0,'Market Data - EQ'!B341-'Market Data - EQ'!B342,IF('Value at Risk'!$C$6=0,('Market Data - EQ'!B341-'Market Data - EQ'!B342)/'Market Data - EQ'!B342,LN('Market Data - EQ'!B341/'Market Data - EQ'!B342)))</f>
        <v>7.8512290702081322E-3</v>
      </c>
      <c r="H341" s="3">
        <f>IF('Value at Risk'!$C$5=0,'Market Data - EQ'!C341-'Market Data - EQ'!C342,IF('Value at Risk'!$C$6=0,('Market Data - EQ'!C341-'Market Data - EQ'!C342)/'Market Data - EQ'!C342,LN('Market Data - EQ'!C341/'Market Data - EQ'!C342)))</f>
        <v>-1.4424674230145916E-2</v>
      </c>
      <c r="I341" s="3">
        <f>IF('Value at Risk'!$C$5=0,'Market Data - EQ'!D341-'Market Data - EQ'!D342,IF('Value at Risk'!$C$6=0,('Market Data - EQ'!D341-'Market Data - EQ'!D342)/'Market Data - EQ'!D342,LN('Market Data - EQ'!D341/'Market Data - EQ'!D342)))</f>
        <v>-6.1885495489327766E-3</v>
      </c>
      <c r="J341" s="3">
        <f>IF('Value at Risk'!$C$5=0,'Market Data - EQ'!E341-'Market Data - EQ'!E342,IF('Value at Risk'!$C$6=0,('Market Data - EQ'!E341-'Market Data - EQ'!E342)/'Market Data - EQ'!E342,LN('Market Data - EQ'!E341/'Market Data - EQ'!E342)))</f>
        <v>-2.750274960114275E-3</v>
      </c>
      <c r="K341" s="3">
        <f>IF('Value at Risk'!$C$5=0,'Market Data - EQ'!F341-'Market Data - EQ'!F342,IF('Value at Risk'!$C$6=0,('Market Data - EQ'!F341-'Market Data - EQ'!F342)/'Market Data - EQ'!F342,LN('Market Data - EQ'!F341/'Market Data - EQ'!F342)))</f>
        <v>-6.2835121906872427E-3</v>
      </c>
      <c r="L341" s="8">
        <f t="shared" si="5"/>
        <v>-4.3591563719344159E-3</v>
      </c>
    </row>
    <row r="342" spans="1:12" x14ac:dyDescent="0.25">
      <c r="A342" s="5">
        <v>43318</v>
      </c>
      <c r="B342" s="4">
        <v>1057.150024</v>
      </c>
      <c r="C342" s="4">
        <v>308.5</v>
      </c>
      <c r="D342" s="4">
        <v>315.10000600000001</v>
      </c>
      <c r="E342" s="4">
        <v>1999.8000489999999</v>
      </c>
      <c r="F342" s="4">
        <v>596.79998799999998</v>
      </c>
      <c r="G342" s="3">
        <f>IF('Value at Risk'!$C$5=0,'Market Data - EQ'!B342-'Market Data - EQ'!B343,IF('Value at Risk'!$C$6=0,('Market Data - EQ'!B342-'Market Data - EQ'!B343)/'Market Data - EQ'!B343,LN('Market Data - EQ'!B342/'Market Data - EQ'!B343)))</f>
        <v>-3.4595145140681981E-3</v>
      </c>
      <c r="H342" s="3">
        <f>IF('Value at Risk'!$C$5=0,'Market Data - EQ'!C342-'Market Data - EQ'!C343,IF('Value at Risk'!$C$6=0,('Market Data - EQ'!C342-'Market Data - EQ'!C343)/'Market Data - EQ'!C343,LN('Market Data - EQ'!C342/'Market Data - EQ'!C343)))</f>
        <v>3.0910609857978277E-2</v>
      </c>
      <c r="I342" s="3">
        <f>IF('Value at Risk'!$C$5=0,'Market Data - EQ'!D342-'Market Data - EQ'!D343,IF('Value at Risk'!$C$6=0,('Market Data - EQ'!D342-'Market Data - EQ'!D343)/'Market Data - EQ'!D343,LN('Market Data - EQ'!D342/'Market Data - EQ'!D343)))</f>
        <v>3.311477377049183E-2</v>
      </c>
      <c r="J342" s="3">
        <f>IF('Value at Risk'!$C$5=0,'Market Data - EQ'!E342-'Market Data - EQ'!E343,IF('Value at Risk'!$C$6=0,('Market Data - EQ'!E342-'Market Data - EQ'!E343)/'Market Data - EQ'!E343,LN('Market Data - EQ'!E342/'Market Data - EQ'!E343)))</f>
        <v>-7.9618658090060291E-3</v>
      </c>
      <c r="K342" s="3">
        <f>IF('Value at Risk'!$C$5=0,'Market Data - EQ'!F342-'Market Data - EQ'!F343,IF('Value at Risk'!$C$6=0,('Market Data - EQ'!F342-'Market Data - EQ'!F343)/'Market Data - EQ'!F343,LN('Market Data - EQ'!F342/'Market Data - EQ'!F343)))</f>
        <v>3.8364485428447122E-2</v>
      </c>
      <c r="L342" s="8">
        <f t="shared" si="5"/>
        <v>1.81936977467686E-2</v>
      </c>
    </row>
    <row r="343" spans="1:12" x14ac:dyDescent="0.25">
      <c r="A343" s="5">
        <v>43315</v>
      </c>
      <c r="B343" s="4">
        <v>1060.8199460000001</v>
      </c>
      <c r="C343" s="4">
        <v>299.25</v>
      </c>
      <c r="D343" s="4">
        <v>305</v>
      </c>
      <c r="E343" s="4">
        <v>2015.849976</v>
      </c>
      <c r="F343" s="4">
        <v>574.75</v>
      </c>
      <c r="G343" s="3">
        <f>IF('Value at Risk'!$C$5=0,'Market Data - EQ'!B343-'Market Data - EQ'!B344,IF('Value at Risk'!$C$6=0,('Market Data - EQ'!B343-'Market Data - EQ'!B344)/'Market Data - EQ'!B344,LN('Market Data - EQ'!B343/'Market Data - EQ'!B344)))</f>
        <v>-4.0184302848955255E-3</v>
      </c>
      <c r="H343" s="3">
        <f>IF('Value at Risk'!$C$5=0,'Market Data - EQ'!C343-'Market Data - EQ'!C344,IF('Value at Risk'!$C$6=0,('Market Data - EQ'!C343-'Market Data - EQ'!C344)/'Market Data - EQ'!C344,LN('Market Data - EQ'!C343/'Market Data - EQ'!C344)))</f>
        <v>1.8203491354953916E-2</v>
      </c>
      <c r="I343" s="3">
        <f>IF('Value at Risk'!$C$5=0,'Market Data - EQ'!D343-'Market Data - EQ'!D344,IF('Value at Risk'!$C$6=0,('Market Data - EQ'!D343-'Market Data - EQ'!D344)/'Market Data - EQ'!D344,LN('Market Data - EQ'!D343/'Market Data - EQ'!D344)))</f>
        <v>2.1604462432602795E-2</v>
      </c>
      <c r="J343" s="3">
        <f>IF('Value at Risk'!$C$5=0,'Market Data - EQ'!E343-'Market Data - EQ'!E344,IF('Value at Risk'!$C$6=0,('Market Data - EQ'!E343-'Market Data - EQ'!E344)/'Market Data - EQ'!E344,LN('Market Data - EQ'!E343/'Market Data - EQ'!E344)))</f>
        <v>-3.5590187220326031E-3</v>
      </c>
      <c r="K343" s="3">
        <f>IF('Value at Risk'!$C$5=0,'Market Data - EQ'!F343-'Market Data - EQ'!F344,IF('Value at Risk'!$C$6=0,('Market Data - EQ'!F343-'Market Data - EQ'!F344)/'Market Data - EQ'!F344,LN('Market Data - EQ'!F343/'Market Data - EQ'!F344)))</f>
        <v>5.0251256281407038E-2</v>
      </c>
      <c r="L343" s="8">
        <f t="shared" si="5"/>
        <v>1.6496352212407122E-2</v>
      </c>
    </row>
    <row r="344" spans="1:12" x14ac:dyDescent="0.25">
      <c r="A344" s="5">
        <v>43314</v>
      </c>
      <c r="B344" s="4">
        <v>1065.099976</v>
      </c>
      <c r="C344" s="4">
        <v>293.89999399999999</v>
      </c>
      <c r="D344" s="4">
        <v>298.54998799999998</v>
      </c>
      <c r="E344" s="4">
        <v>2023.0500489999999</v>
      </c>
      <c r="F344" s="4">
        <v>547.25</v>
      </c>
      <c r="G344" s="3">
        <f>IF('Value at Risk'!$C$5=0,'Market Data - EQ'!B344-'Market Data - EQ'!B345,IF('Value at Risk'!$C$6=0,('Market Data - EQ'!B344-'Market Data - EQ'!B345)/'Market Data - EQ'!B345,LN('Market Data - EQ'!B344/'Market Data - EQ'!B345)))</f>
        <v>-1.3202390621075069E-2</v>
      </c>
      <c r="H344" s="3">
        <f>IF('Value at Risk'!$C$5=0,'Market Data - EQ'!C344-'Market Data - EQ'!C345,IF('Value at Risk'!$C$6=0,('Market Data - EQ'!C344-'Market Data - EQ'!C345)/'Market Data - EQ'!C345,LN('Market Data - EQ'!C344/'Market Data - EQ'!C345)))</f>
        <v>-4.066458744836539E-3</v>
      </c>
      <c r="I344" s="3">
        <f>IF('Value at Risk'!$C$5=0,'Market Data - EQ'!D344-'Market Data - EQ'!D345,IF('Value at Risk'!$C$6=0,('Market Data - EQ'!D344-'Market Data - EQ'!D345)/'Market Data - EQ'!D345,LN('Market Data - EQ'!D344/'Market Data - EQ'!D345)))</f>
        <v>-2.505847076746291E-3</v>
      </c>
      <c r="J344" s="3">
        <f>IF('Value at Risk'!$C$5=0,'Market Data - EQ'!E344-'Market Data - EQ'!E345,IF('Value at Risk'!$C$6=0,('Market Data - EQ'!E344-'Market Data - EQ'!E345)/'Market Data - EQ'!E345,LN('Market Data - EQ'!E344/'Market Data - EQ'!E345)))</f>
        <v>1.0842717795600572E-2</v>
      </c>
      <c r="K344" s="3">
        <f>IF('Value at Risk'!$C$5=0,'Market Data - EQ'!F344-'Market Data - EQ'!F345,IF('Value at Risk'!$C$6=0,('Market Data - EQ'!F344-'Market Data - EQ'!F345)/'Market Data - EQ'!F345,LN('Market Data - EQ'!F344/'Market Data - EQ'!F345)))</f>
        <v>3.8521065900200152E-3</v>
      </c>
      <c r="L344" s="8">
        <f t="shared" si="5"/>
        <v>-1.015974411407463E-3</v>
      </c>
    </row>
    <row r="345" spans="1:12" x14ac:dyDescent="0.25">
      <c r="A345" s="5">
        <v>43313</v>
      </c>
      <c r="B345" s="4">
        <v>1079.349976</v>
      </c>
      <c r="C345" s="4">
        <v>295.10000600000001</v>
      </c>
      <c r="D345" s="4">
        <v>299.29998799999998</v>
      </c>
      <c r="E345" s="4">
        <v>2001.349976</v>
      </c>
      <c r="F345" s="4">
        <v>545.15002400000003</v>
      </c>
      <c r="G345" s="3">
        <f>IF('Value at Risk'!$C$5=0,'Market Data - EQ'!B345-'Market Data - EQ'!B346,IF('Value at Risk'!$C$6=0,('Market Data - EQ'!B345-'Market Data - EQ'!B346)/'Market Data - EQ'!B346,LN('Market Data - EQ'!B345/'Market Data - EQ'!B346)))</f>
        <v>-9.5434952970865159E-3</v>
      </c>
      <c r="H345" s="3">
        <f>IF('Value at Risk'!$C$5=0,'Market Data - EQ'!C345-'Market Data - EQ'!C346,IF('Value at Risk'!$C$6=0,('Market Data - EQ'!C345-'Market Data - EQ'!C346)/'Market Data - EQ'!C346,LN('Market Data - EQ'!C345/'Market Data - EQ'!C346)))</f>
        <v>5.4514684838160394E-3</v>
      </c>
      <c r="I345" s="3">
        <f>IF('Value at Risk'!$C$5=0,'Market Data - EQ'!D345-'Market Data - EQ'!D346,IF('Value at Risk'!$C$6=0,('Market Data - EQ'!D345-'Market Data - EQ'!D346)/'Market Data - EQ'!D346,LN('Market Data - EQ'!D345/'Market Data - EQ'!D346)))</f>
        <v>-1.626955464256373E-2</v>
      </c>
      <c r="J345" s="3">
        <f>IF('Value at Risk'!$C$5=0,'Market Data - EQ'!E345-'Market Data - EQ'!E346,IF('Value at Risk'!$C$6=0,('Market Data - EQ'!E345-'Market Data - EQ'!E346)/'Market Data - EQ'!E346,LN('Market Data - EQ'!E345/'Market Data - EQ'!E346)))</f>
        <v>3.1075116785302653E-3</v>
      </c>
      <c r="K345" s="3">
        <f>IF('Value at Risk'!$C$5=0,'Market Data - EQ'!F345-'Market Data - EQ'!F346,IF('Value at Risk'!$C$6=0,('Market Data - EQ'!F345-'Market Data - EQ'!F346)/'Market Data - EQ'!F346,LN('Market Data - EQ'!F345/'Market Data - EQ'!F346)))</f>
        <v>-9.5385170259367578E-3</v>
      </c>
      <c r="L345" s="8">
        <f t="shared" si="5"/>
        <v>-5.3585173606481391E-3</v>
      </c>
    </row>
    <row r="346" spans="1:12" x14ac:dyDescent="0.25">
      <c r="A346" s="5">
        <v>43312</v>
      </c>
      <c r="B346" s="4">
        <v>1089.75</v>
      </c>
      <c r="C346" s="4">
        <v>293.5</v>
      </c>
      <c r="D346" s="4">
        <v>304.25</v>
      </c>
      <c r="E346" s="4">
        <v>1995.150024</v>
      </c>
      <c r="F346" s="4">
        <v>550.40002400000003</v>
      </c>
      <c r="G346" s="3">
        <f>IF('Value at Risk'!$C$5=0,'Market Data - EQ'!B346-'Market Data - EQ'!B347,IF('Value at Risk'!$C$6=0,('Market Data - EQ'!B346-'Market Data - EQ'!B347)/'Market Data - EQ'!B347,LN('Market Data - EQ'!B346/'Market Data - EQ'!B347)))</f>
        <v>4.4242123754885945E-3</v>
      </c>
      <c r="H346" s="3">
        <f>IF('Value at Risk'!$C$5=0,'Market Data - EQ'!C346-'Market Data - EQ'!C347,IF('Value at Risk'!$C$6=0,('Market Data - EQ'!C346-'Market Data - EQ'!C347)/'Market Data - EQ'!C347,LN('Market Data - EQ'!C346/'Market Data - EQ'!C347)))</f>
        <v>-1.3113631737329465E-2</v>
      </c>
      <c r="I346" s="3">
        <f>IF('Value at Risk'!$C$5=0,'Market Data - EQ'!D346-'Market Data - EQ'!D347,IF('Value at Risk'!$C$6=0,('Market Data - EQ'!D346-'Market Data - EQ'!D347)/'Market Data - EQ'!D347,LN('Market Data - EQ'!D346/'Market Data - EQ'!D347)))</f>
        <v>-1.0086240245591561E-2</v>
      </c>
      <c r="J346" s="3">
        <f>IF('Value at Risk'!$C$5=0,'Market Data - EQ'!E346-'Market Data - EQ'!E347,IF('Value at Risk'!$C$6=0,('Market Data - EQ'!E346-'Market Data - EQ'!E347)/'Market Data - EQ'!E347,LN('Market Data - EQ'!E346/'Market Data - EQ'!E347)))</f>
        <v>1.2663726332617279E-2</v>
      </c>
      <c r="K346" s="3">
        <f>IF('Value at Risk'!$C$5=0,'Market Data - EQ'!F346-'Market Data - EQ'!F347,IF('Value at Risk'!$C$6=0,('Market Data - EQ'!F346-'Market Data - EQ'!F347)/'Market Data - EQ'!F347,LN('Market Data - EQ'!F346/'Market Data - EQ'!F347)))</f>
        <v>-3.3792678291891018E-2</v>
      </c>
      <c r="L346" s="8">
        <f t="shared" si="5"/>
        <v>-7.9809223133412328E-3</v>
      </c>
    </row>
    <row r="347" spans="1:12" x14ac:dyDescent="0.25">
      <c r="A347" s="5">
        <v>43311</v>
      </c>
      <c r="B347" s="4">
        <v>1084.9499510000001</v>
      </c>
      <c r="C347" s="4">
        <v>297.39999399999999</v>
      </c>
      <c r="D347" s="4">
        <v>307.35000600000001</v>
      </c>
      <c r="E347" s="4">
        <v>1970.1999510000001</v>
      </c>
      <c r="F347" s="4">
        <v>569.65002400000003</v>
      </c>
      <c r="G347" s="3">
        <f>IF('Value at Risk'!$C$5=0,'Market Data - EQ'!B347-'Market Data - EQ'!B348,IF('Value at Risk'!$C$6=0,('Market Data - EQ'!B347-'Market Data - EQ'!B348)/'Market Data - EQ'!B348,LN('Market Data - EQ'!B347/'Market Data - EQ'!B348)))</f>
        <v>-1.4640300608114151E-2</v>
      </c>
      <c r="H347" s="3">
        <f>IF('Value at Risk'!$C$5=0,'Market Data - EQ'!C347-'Market Data - EQ'!C348,IF('Value at Risk'!$C$6=0,('Market Data - EQ'!C347-'Market Data - EQ'!C348)/'Market Data - EQ'!C348,LN('Market Data - EQ'!C347/'Market Data - EQ'!C348)))</f>
        <v>3.7140345248474253E-2</v>
      </c>
      <c r="I347" s="3">
        <f>IF('Value at Risk'!$C$5=0,'Market Data - EQ'!D347-'Market Data - EQ'!D348,IF('Value at Risk'!$C$6=0,('Market Data - EQ'!D347-'Market Data - EQ'!D348)/'Market Data - EQ'!D348,LN('Market Data - EQ'!D347/'Market Data - EQ'!D348)))</f>
        <v>4.8260550548681398E-2</v>
      </c>
      <c r="J347" s="3">
        <f>IF('Value at Risk'!$C$5=0,'Market Data - EQ'!E347-'Market Data - EQ'!E348,IF('Value at Risk'!$C$6=0,('Market Data - EQ'!E347-'Market Data - EQ'!E348)/'Market Data - EQ'!E348,LN('Market Data - EQ'!E347/'Market Data - EQ'!E348)))</f>
        <v>-5.7278886322996376E-3</v>
      </c>
      <c r="K347" s="3">
        <f>IF('Value at Risk'!$C$5=0,'Market Data - EQ'!F347-'Market Data - EQ'!F348,IF('Value at Risk'!$C$6=0,('Market Data - EQ'!F347-'Market Data - EQ'!F348)/'Market Data - EQ'!F348,LN('Market Data - EQ'!F347/'Market Data - EQ'!F348)))</f>
        <v>2.9643061906913747E-2</v>
      </c>
      <c r="L347" s="8">
        <f t="shared" si="5"/>
        <v>1.8935153692731122E-2</v>
      </c>
    </row>
    <row r="348" spans="1:12" x14ac:dyDescent="0.25">
      <c r="A348" s="5">
        <v>43308</v>
      </c>
      <c r="B348" s="4">
        <v>1101.0699460000001</v>
      </c>
      <c r="C348" s="4">
        <v>286.75</v>
      </c>
      <c r="D348" s="4">
        <v>293.20001200000002</v>
      </c>
      <c r="E348" s="4">
        <v>1981.5500489999999</v>
      </c>
      <c r="F348" s="4">
        <v>553.25</v>
      </c>
      <c r="G348" s="3">
        <f>IF('Value at Risk'!$C$5=0,'Market Data - EQ'!B348-'Market Data - EQ'!B349,IF('Value at Risk'!$C$6=0,('Market Data - EQ'!B348-'Market Data - EQ'!B349)/'Market Data - EQ'!B349,LN('Market Data - EQ'!B348/'Market Data - EQ'!B349)))</f>
        <v>4.3509046673408736E-3</v>
      </c>
      <c r="H348" s="3">
        <f>IF('Value at Risk'!$C$5=0,'Market Data - EQ'!C348-'Market Data - EQ'!C349,IF('Value at Risk'!$C$6=0,('Market Data - EQ'!C348-'Market Data - EQ'!C349)/'Market Data - EQ'!C349,LN('Market Data - EQ'!C348/'Market Data - EQ'!C349)))</f>
        <v>-3.3020923196903276E-3</v>
      </c>
      <c r="I348" s="3">
        <f>IF('Value at Risk'!$C$5=0,'Market Data - EQ'!D348-'Market Data - EQ'!D349,IF('Value at Risk'!$C$6=0,('Market Data - EQ'!D348-'Market Data - EQ'!D349)/'Market Data - EQ'!D349,LN('Market Data - EQ'!D348/'Market Data - EQ'!D349)))</f>
        <v>2.6431010532421095E-2</v>
      </c>
      <c r="J348" s="3">
        <f>IF('Value at Risk'!$C$5=0,'Market Data - EQ'!E348-'Market Data - EQ'!E349,IF('Value at Risk'!$C$6=0,('Market Data - EQ'!E348-'Market Data - EQ'!E349)/'Market Data - EQ'!E349,LN('Market Data - EQ'!E348/'Market Data - EQ'!E349)))</f>
        <v>1.0814432759224812E-2</v>
      </c>
      <c r="K348" s="3">
        <f>IF('Value at Risk'!$C$5=0,'Market Data - EQ'!F348-'Market Data - EQ'!F349,IF('Value at Risk'!$C$6=0,('Market Data - EQ'!F348-'Market Data - EQ'!F349)/'Market Data - EQ'!F349,LN('Market Data - EQ'!F348/'Market Data - EQ'!F349)))</f>
        <v>2.141599831259302E-2</v>
      </c>
      <c r="L348" s="8">
        <f t="shared" si="5"/>
        <v>1.1942050790377894E-2</v>
      </c>
    </row>
    <row r="349" spans="1:12" x14ac:dyDescent="0.25">
      <c r="A349" s="5">
        <v>43307</v>
      </c>
      <c r="B349" s="4">
        <v>1096.3000489999999</v>
      </c>
      <c r="C349" s="4">
        <v>287.70001200000002</v>
      </c>
      <c r="D349" s="4">
        <v>285.64999399999999</v>
      </c>
      <c r="E349" s="4">
        <v>1960.349976</v>
      </c>
      <c r="F349" s="4">
        <v>541.65002400000003</v>
      </c>
      <c r="G349" s="3">
        <f>IF('Value at Risk'!$C$5=0,'Market Data - EQ'!B349-'Market Data - EQ'!B350,IF('Value at Risk'!$C$6=0,('Market Data - EQ'!B349-'Market Data - EQ'!B350)/'Market Data - EQ'!B350,LN('Market Data - EQ'!B349/'Market Data - EQ'!B350)))</f>
        <v>1.0247142821148848E-2</v>
      </c>
      <c r="H349" s="3">
        <f>IF('Value at Risk'!$C$5=0,'Market Data - EQ'!C349-'Market Data - EQ'!C350,IF('Value at Risk'!$C$6=0,('Market Data - EQ'!C349-'Market Data - EQ'!C350)/'Market Data - EQ'!C350,LN('Market Data - EQ'!C349/'Market Data - EQ'!C350)))</f>
        <v>5.830423266571496E-2</v>
      </c>
      <c r="I349" s="3">
        <f>IF('Value at Risk'!$C$5=0,'Market Data - EQ'!D349-'Market Data - EQ'!D350,IF('Value at Risk'!$C$6=0,('Market Data - EQ'!D349-'Market Data - EQ'!D350)/'Market Data - EQ'!D350,LN('Market Data - EQ'!D349/'Market Data - EQ'!D350)))</f>
        <v>4.005097484181995E-2</v>
      </c>
      <c r="J349" s="3">
        <f>IF('Value at Risk'!$C$5=0,'Market Data - EQ'!E349-'Market Data - EQ'!E350,IF('Value at Risk'!$C$6=0,('Market Data - EQ'!E349-'Market Data - EQ'!E350)/'Market Data - EQ'!E350,LN('Market Data - EQ'!E349/'Market Data - EQ'!E350)))</f>
        <v>-2.3918337359355346E-3</v>
      </c>
      <c r="K349" s="3">
        <f>IF('Value at Risk'!$C$5=0,'Market Data - EQ'!F349-'Market Data - EQ'!F350,IF('Value at Risk'!$C$6=0,('Market Data - EQ'!F349-'Market Data - EQ'!F350)/'Market Data - EQ'!F350,LN('Market Data - EQ'!F349/'Market Data - EQ'!F350)))</f>
        <v>1.7660918741193105E-2</v>
      </c>
      <c r="L349" s="8">
        <f t="shared" si="5"/>
        <v>2.4774287066788268E-2</v>
      </c>
    </row>
    <row r="350" spans="1:12" x14ac:dyDescent="0.25">
      <c r="A350" s="5">
        <v>43306</v>
      </c>
      <c r="B350" s="4">
        <v>1085.1800539999999</v>
      </c>
      <c r="C350" s="4">
        <v>271.85000600000001</v>
      </c>
      <c r="D350" s="4">
        <v>274.64999399999999</v>
      </c>
      <c r="E350" s="4">
        <v>1965.0500489999999</v>
      </c>
      <c r="F350" s="4">
        <v>532.25</v>
      </c>
      <c r="G350" s="3">
        <f>IF('Value at Risk'!$C$5=0,'Market Data - EQ'!B350-'Market Data - EQ'!B351,IF('Value at Risk'!$C$6=0,('Market Data - EQ'!B350-'Market Data - EQ'!B351)/'Market Data - EQ'!B351,LN('Market Data - EQ'!B350/'Market Data - EQ'!B351)))</f>
        <v>4.9079980881764212E-3</v>
      </c>
      <c r="H350" s="3">
        <f>IF('Value at Risk'!$C$5=0,'Market Data - EQ'!C350-'Market Data - EQ'!C351,IF('Value at Risk'!$C$6=0,('Market Data - EQ'!C350-'Market Data - EQ'!C351)/'Market Data - EQ'!C351,LN('Market Data - EQ'!C350/'Market Data - EQ'!C351)))</f>
        <v>1.8737117809920528E-2</v>
      </c>
      <c r="I350" s="3">
        <f>IF('Value at Risk'!$C$5=0,'Market Data - EQ'!D350-'Market Data - EQ'!D351,IF('Value at Risk'!$C$6=0,('Market Data - EQ'!D350-'Market Data - EQ'!D351)/'Market Data - EQ'!D351,LN('Market Data - EQ'!D350/'Market Data - EQ'!D351)))</f>
        <v>1.0934499487489889E-3</v>
      </c>
      <c r="J350" s="3">
        <f>IF('Value at Risk'!$C$5=0,'Market Data - EQ'!E350-'Market Data - EQ'!E351,IF('Value at Risk'!$C$6=0,('Market Data - EQ'!E350-'Market Data - EQ'!E351)/'Market Data - EQ'!E351,LN('Market Data - EQ'!E350/'Market Data - EQ'!E351)))</f>
        <v>9.0633792659334557E-3</v>
      </c>
      <c r="K350" s="3">
        <f>IF('Value at Risk'!$C$5=0,'Market Data - EQ'!F350-'Market Data - EQ'!F351,IF('Value at Risk'!$C$6=0,('Market Data - EQ'!F350-'Market Data - EQ'!F351)/'Market Data - EQ'!F351,LN('Market Data - EQ'!F350/'Market Data - EQ'!F351)))</f>
        <v>-2.5361612541070631E-2</v>
      </c>
      <c r="L350" s="8">
        <f t="shared" si="5"/>
        <v>1.688066514341753E-3</v>
      </c>
    </row>
    <row r="351" spans="1:12" x14ac:dyDescent="0.25">
      <c r="A351" s="5">
        <v>43305</v>
      </c>
      <c r="B351" s="4">
        <v>1079.880005</v>
      </c>
      <c r="C351" s="4">
        <v>266.85000600000001</v>
      </c>
      <c r="D351" s="4">
        <v>274.35000600000001</v>
      </c>
      <c r="E351" s="4">
        <v>1947.400024</v>
      </c>
      <c r="F351" s="4">
        <v>546.09997599999997</v>
      </c>
      <c r="G351" s="3">
        <f>IF('Value at Risk'!$C$5=0,'Market Data - EQ'!B351-'Market Data - EQ'!B352,IF('Value at Risk'!$C$6=0,('Market Data - EQ'!B351-'Market Data - EQ'!B352)/'Market Data - EQ'!B352,LN('Market Data - EQ'!B351/'Market Data - EQ'!B352)))</f>
        <v>1.5396060587343694E-3</v>
      </c>
      <c r="H351" s="3">
        <f>IF('Value at Risk'!$C$5=0,'Market Data - EQ'!C351-'Market Data - EQ'!C352,IF('Value at Risk'!$C$6=0,('Market Data - EQ'!C351-'Market Data - EQ'!C352)/'Market Data - EQ'!C352,LN('Market Data - EQ'!C351/'Market Data - EQ'!C352)))</f>
        <v>1.8772291673986295E-3</v>
      </c>
      <c r="I351" s="3">
        <f>IF('Value at Risk'!$C$5=0,'Market Data - EQ'!D351-'Market Data - EQ'!D352,IF('Value at Risk'!$C$6=0,('Market Data - EQ'!D351-'Market Data - EQ'!D352)/'Market Data - EQ'!D352,LN('Market Data - EQ'!D351/'Market Data - EQ'!D352)))</f>
        <v>-4.3548613763684041E-3</v>
      </c>
      <c r="J351" s="3">
        <f>IF('Value at Risk'!$C$5=0,'Market Data - EQ'!E351-'Market Data - EQ'!E352,IF('Value at Risk'!$C$6=0,('Market Data - EQ'!E351-'Market Data - EQ'!E352)/'Market Data - EQ'!E352,LN('Market Data - EQ'!E351/'Market Data - EQ'!E352)))</f>
        <v>3.7368244261094317E-3</v>
      </c>
      <c r="K351" s="3">
        <f>IF('Value at Risk'!$C$5=0,'Market Data - EQ'!F351-'Market Data - EQ'!F352,IF('Value at Risk'!$C$6=0,('Market Data - EQ'!F351-'Market Data - EQ'!F352)/'Market Data - EQ'!F352,LN('Market Data - EQ'!F351/'Market Data - EQ'!F352)))</f>
        <v>1.0641251513630122E-2</v>
      </c>
      <c r="L351" s="8">
        <f t="shared" si="5"/>
        <v>2.6880099579008297E-3</v>
      </c>
    </row>
    <row r="352" spans="1:12" x14ac:dyDescent="0.25">
      <c r="A352" s="5">
        <v>43304</v>
      </c>
      <c r="B352" s="4">
        <v>1078.219971</v>
      </c>
      <c r="C352" s="4">
        <v>266.35000600000001</v>
      </c>
      <c r="D352" s="4">
        <v>275.54998799999998</v>
      </c>
      <c r="E352" s="4">
        <v>1940.150024</v>
      </c>
      <c r="F352" s="4">
        <v>540.34997599999997</v>
      </c>
      <c r="G352" s="3">
        <f>IF('Value at Risk'!$C$5=0,'Market Data - EQ'!B352-'Market Data - EQ'!B353,IF('Value at Risk'!$C$6=0,('Market Data - EQ'!B352-'Market Data - EQ'!B353)/'Market Data - EQ'!B353,LN('Market Data - EQ'!B352/'Market Data - EQ'!B353)))</f>
        <v>-1.4901425788108758E-2</v>
      </c>
      <c r="H352" s="3">
        <f>IF('Value at Risk'!$C$5=0,'Market Data - EQ'!C352-'Market Data - EQ'!C353,IF('Value at Risk'!$C$6=0,('Market Data - EQ'!C352-'Market Data - EQ'!C353)/'Market Data - EQ'!C353,LN('Market Data - EQ'!C352/'Market Data - EQ'!C353)))</f>
        <v>1.8546868068833679E-2</v>
      </c>
      <c r="I352" s="3">
        <f>IF('Value at Risk'!$C$5=0,'Market Data - EQ'!D352-'Market Data - EQ'!D353,IF('Value at Risk'!$C$6=0,('Market Data - EQ'!D352-'Market Data - EQ'!D353)/'Market Data - EQ'!D353,LN('Market Data - EQ'!D352/'Market Data - EQ'!D353)))</f>
        <v>3.668171723168024E-2</v>
      </c>
      <c r="J352" s="3">
        <f>IF('Value at Risk'!$C$5=0,'Market Data - EQ'!E352-'Market Data - EQ'!E353,IF('Value at Risk'!$C$6=0,('Market Data - EQ'!E352-'Market Data - EQ'!E353)/'Market Data - EQ'!E353,LN('Market Data - EQ'!E352/'Market Data - EQ'!E353)))</f>
        <v>1.9762936076116906E-2</v>
      </c>
      <c r="K352" s="3">
        <f>IF('Value at Risk'!$C$5=0,'Market Data - EQ'!F352-'Market Data - EQ'!F353,IF('Value at Risk'!$C$6=0,('Market Data - EQ'!F352-'Market Data - EQ'!F353)/'Market Data - EQ'!F353,LN('Market Data - EQ'!F352/'Market Data - EQ'!F353)))</f>
        <v>1.246011588997295E-2</v>
      </c>
      <c r="L352" s="8">
        <f t="shared" si="5"/>
        <v>1.4510042295699004E-2</v>
      </c>
    </row>
    <row r="353" spans="1:12" x14ac:dyDescent="0.25">
      <c r="A353" s="5">
        <v>43301</v>
      </c>
      <c r="B353" s="4">
        <v>1094.530029</v>
      </c>
      <c r="C353" s="4">
        <v>261.5</v>
      </c>
      <c r="D353" s="4">
        <v>265.79998799999998</v>
      </c>
      <c r="E353" s="4">
        <v>1902.5500489999999</v>
      </c>
      <c r="F353" s="4">
        <v>533.70001200000002</v>
      </c>
      <c r="G353" s="3">
        <f>IF('Value at Risk'!$C$5=0,'Market Data - EQ'!B353-'Market Data - EQ'!B354,IF('Value at Risk'!$C$6=0,('Market Data - EQ'!B353-'Market Data - EQ'!B354)/'Market Data - EQ'!B354,LN('Market Data - EQ'!B353/'Market Data - EQ'!B354)))</f>
        <v>1.3539910650514676E-3</v>
      </c>
      <c r="H353" s="3">
        <f>IF('Value at Risk'!$C$5=0,'Market Data - EQ'!C353-'Market Data - EQ'!C354,IF('Value at Risk'!$C$6=0,('Market Data - EQ'!C353-'Market Data - EQ'!C354)/'Market Data - EQ'!C354,LN('Market Data - EQ'!C353/'Market Data - EQ'!C354)))</f>
        <v>4.9961104536766308E-3</v>
      </c>
      <c r="I353" s="3">
        <f>IF('Value at Risk'!$C$5=0,'Market Data - EQ'!D353-'Market Data - EQ'!D354,IF('Value at Risk'!$C$6=0,('Market Data - EQ'!D353-'Market Data - EQ'!D354)/'Market Data - EQ'!D354,LN('Market Data - EQ'!D353/'Market Data - EQ'!D354)))</f>
        <v>1.761093334099835E-2</v>
      </c>
      <c r="J353" s="3">
        <f>IF('Value at Risk'!$C$5=0,'Market Data - EQ'!E353-'Market Data - EQ'!E354,IF('Value at Risk'!$C$6=0,('Market Data - EQ'!E353-'Market Data - EQ'!E354)/'Market Data - EQ'!E354,LN('Market Data - EQ'!E353/'Market Data - EQ'!E354)))</f>
        <v>7.573175691778072E-3</v>
      </c>
      <c r="K353" s="3">
        <f>IF('Value at Risk'!$C$5=0,'Market Data - EQ'!F353-'Market Data - EQ'!F354,IF('Value at Risk'!$C$6=0,('Market Data - EQ'!F353-'Market Data - EQ'!F354)/'Market Data - EQ'!F354,LN('Market Data - EQ'!F353/'Market Data - EQ'!F354)))</f>
        <v>1.3097995742551214E-2</v>
      </c>
      <c r="L353" s="8">
        <f t="shared" si="5"/>
        <v>8.9264412588111481E-3</v>
      </c>
    </row>
    <row r="354" spans="1:12" x14ac:dyDescent="0.25">
      <c r="A354" s="5">
        <v>43300</v>
      </c>
      <c r="B354" s="4">
        <v>1093.0500489999999</v>
      </c>
      <c r="C354" s="4">
        <v>260.20001200000002</v>
      </c>
      <c r="D354" s="4">
        <v>261.20001200000002</v>
      </c>
      <c r="E354" s="4">
        <v>1888.25</v>
      </c>
      <c r="F354" s="4">
        <v>526.79998799999998</v>
      </c>
      <c r="G354" s="3">
        <f>IF('Value at Risk'!$C$5=0,'Market Data - EQ'!B354-'Market Data - EQ'!B355,IF('Value at Risk'!$C$6=0,('Market Data - EQ'!B354-'Market Data - EQ'!B355)/'Market Data - EQ'!B355,LN('Market Data - EQ'!B354/'Market Data - EQ'!B355)))</f>
        <v>4.5492814163980598E-3</v>
      </c>
      <c r="H354" s="3">
        <f>IF('Value at Risk'!$C$5=0,'Market Data - EQ'!C354-'Market Data - EQ'!C355,IF('Value at Risk'!$C$6=0,('Market Data - EQ'!C354-'Market Data - EQ'!C355)/'Market Data - EQ'!C355,LN('Market Data - EQ'!C354/'Market Data - EQ'!C355)))</f>
        <v>2.5044270084883624E-3</v>
      </c>
      <c r="I354" s="3">
        <f>IF('Value at Risk'!$C$5=0,'Market Data - EQ'!D354-'Market Data - EQ'!D355,IF('Value at Risk'!$C$6=0,('Market Data - EQ'!D354-'Market Data - EQ'!D355)/'Market Data - EQ'!D355,LN('Market Data - EQ'!D354/'Market Data - EQ'!D355)))</f>
        <v>-5.7099350265731996E-3</v>
      </c>
      <c r="J354" s="3">
        <f>IF('Value at Risk'!$C$5=0,'Market Data - EQ'!E354-'Market Data - EQ'!E355,IF('Value at Risk'!$C$6=0,('Market Data - EQ'!E354-'Market Data - EQ'!E355)/'Market Data - EQ'!E355,LN('Market Data - EQ'!E354/'Market Data - EQ'!E355)))</f>
        <v>-2.2720926203626886E-3</v>
      </c>
      <c r="K354" s="3">
        <f>IF('Value at Risk'!$C$5=0,'Market Data - EQ'!F354-'Market Data - EQ'!F355,IF('Value at Risk'!$C$6=0,('Market Data - EQ'!F354-'Market Data - EQ'!F355)/'Market Data - EQ'!F355,LN('Market Data - EQ'!F354/'Market Data - EQ'!F355)))</f>
        <v>4.7478872984040406E-4</v>
      </c>
      <c r="L354" s="8">
        <f t="shared" si="5"/>
        <v>-9.0706098441812477E-5</v>
      </c>
    </row>
    <row r="355" spans="1:12" x14ac:dyDescent="0.25">
      <c r="A355" s="5">
        <v>43299</v>
      </c>
      <c r="B355" s="4">
        <v>1088.099976</v>
      </c>
      <c r="C355" s="4">
        <v>259.54998799999998</v>
      </c>
      <c r="D355" s="4">
        <v>262.70001200000002</v>
      </c>
      <c r="E355" s="4">
        <v>1892.5500489999999</v>
      </c>
      <c r="F355" s="4">
        <v>526.54998799999998</v>
      </c>
      <c r="G355" s="3">
        <f>IF('Value at Risk'!$C$5=0,'Market Data - EQ'!B355-'Market Data - EQ'!B356,IF('Value at Risk'!$C$6=0,('Market Data - EQ'!B355-'Market Data - EQ'!B356)/'Market Data - EQ'!B356,LN('Market Data - EQ'!B355/'Market Data - EQ'!B356)))</f>
        <v>-2.5728973218321224E-4</v>
      </c>
      <c r="H355" s="3">
        <f>IF('Value at Risk'!$C$5=0,'Market Data - EQ'!C355-'Market Data - EQ'!C356,IF('Value at Risk'!$C$6=0,('Market Data - EQ'!C355-'Market Data - EQ'!C356)/'Market Data - EQ'!C356,LN('Market Data - EQ'!C355/'Market Data - EQ'!C356)))</f>
        <v>1.9301294080739351E-3</v>
      </c>
      <c r="I355" s="3">
        <f>IF('Value at Risk'!$C$5=0,'Market Data - EQ'!D355-'Market Data - EQ'!D356,IF('Value at Risk'!$C$6=0,('Market Data - EQ'!D355-'Market Data - EQ'!D356)/'Market Data - EQ'!D356,LN('Market Data - EQ'!D355/'Market Data - EQ'!D356)))</f>
        <v>-1.4073934438404153E-2</v>
      </c>
      <c r="J355" s="3">
        <f>IF('Value at Risk'!$C$5=0,'Market Data - EQ'!E355-'Market Data - EQ'!E356,IF('Value at Risk'!$C$6=0,('Market Data - EQ'!E355-'Market Data - EQ'!E356)/'Market Data - EQ'!E356,LN('Market Data - EQ'!E355/'Market Data - EQ'!E356)))</f>
        <v>-6.535407349081394E-3</v>
      </c>
      <c r="K355" s="3">
        <f>IF('Value at Risk'!$C$5=0,'Market Data - EQ'!F355-'Market Data - EQ'!F356,IF('Value at Risk'!$C$6=0,('Market Data - EQ'!F355-'Market Data - EQ'!F356)/'Market Data - EQ'!F356,LN('Market Data - EQ'!F355/'Market Data - EQ'!F356)))</f>
        <v>-2.1100642300770831E-2</v>
      </c>
      <c r="L355" s="8">
        <f t="shared" si="5"/>
        <v>-8.0074288824731298E-3</v>
      </c>
    </row>
    <row r="356" spans="1:12" x14ac:dyDescent="0.25">
      <c r="A356" s="5">
        <v>43298</v>
      </c>
      <c r="B356" s="4">
        <v>1088.380005</v>
      </c>
      <c r="C356" s="4">
        <v>259.04998799999998</v>
      </c>
      <c r="D356" s="4">
        <v>266.45001200000002</v>
      </c>
      <c r="E356" s="4">
        <v>1905</v>
      </c>
      <c r="F356" s="4">
        <v>537.90002400000003</v>
      </c>
      <c r="G356" s="3">
        <f>IF('Value at Risk'!$C$5=0,'Market Data - EQ'!B356-'Market Data - EQ'!B357,IF('Value at Risk'!$C$6=0,('Market Data - EQ'!B356-'Market Data - EQ'!B357)/'Market Data - EQ'!B357,LN('Market Data - EQ'!B356/'Market Data - EQ'!B357)))</f>
        <v>3.6424211828419649E-3</v>
      </c>
      <c r="H356" s="3">
        <f>IF('Value at Risk'!$C$5=0,'Market Data - EQ'!C356-'Market Data - EQ'!C357,IF('Value at Risk'!$C$6=0,('Market Data - EQ'!C356-'Market Data - EQ'!C357)/'Market Data - EQ'!C357,LN('Market Data - EQ'!C356/'Market Data - EQ'!C357)))</f>
        <v>2.9610420597525649E-2</v>
      </c>
      <c r="I356" s="3">
        <f>IF('Value at Risk'!$C$5=0,'Market Data - EQ'!D356-'Market Data - EQ'!D357,IF('Value at Risk'!$C$6=0,('Market Data - EQ'!D356-'Market Data - EQ'!D357)/'Market Data - EQ'!D357,LN('Market Data - EQ'!D356/'Market Data - EQ'!D357)))</f>
        <v>2.7772466730954737E-2</v>
      </c>
      <c r="J356" s="3">
        <f>IF('Value at Risk'!$C$5=0,'Market Data - EQ'!E356-'Market Data - EQ'!E357,IF('Value at Risk'!$C$6=0,('Market Data - EQ'!E356-'Market Data - EQ'!E357)/'Market Data - EQ'!E357,LN('Market Data - EQ'!E356/'Market Data - EQ'!E357)))</f>
        <v>-9.2315693667923554E-3</v>
      </c>
      <c r="K356" s="3">
        <f>IF('Value at Risk'!$C$5=0,'Market Data - EQ'!F356-'Market Data - EQ'!F357,IF('Value at Risk'!$C$6=0,('Market Data - EQ'!F356-'Market Data - EQ'!F357)/'Market Data - EQ'!F357,LN('Market Data - EQ'!F356/'Market Data - EQ'!F357)))</f>
        <v>3.0262495166251572E-2</v>
      </c>
      <c r="L356" s="8">
        <f t="shared" si="5"/>
        <v>1.6411246862156316E-2</v>
      </c>
    </row>
    <row r="357" spans="1:12" x14ac:dyDescent="0.25">
      <c r="A357" s="5">
        <v>43297</v>
      </c>
      <c r="B357" s="4">
        <v>1084.4300539999999</v>
      </c>
      <c r="C357" s="4">
        <v>251.60000600000001</v>
      </c>
      <c r="D357" s="4">
        <v>259.25</v>
      </c>
      <c r="E357" s="4">
        <v>1922.75</v>
      </c>
      <c r="F357" s="4">
        <v>522.09997599999997</v>
      </c>
      <c r="G357" s="3">
        <f>IF('Value at Risk'!$C$5=0,'Market Data - EQ'!B357-'Market Data - EQ'!B358,IF('Value at Risk'!$C$6=0,('Market Data - EQ'!B357-'Market Data - EQ'!B358)/'Market Data - EQ'!B358,LN('Market Data - EQ'!B357/'Market Data - EQ'!B358)))</f>
        <v>-5.5205624013092624E-3</v>
      </c>
      <c r="H357" s="3">
        <f>IF('Value at Risk'!$C$5=0,'Market Data - EQ'!C357-'Market Data - EQ'!C358,IF('Value at Risk'!$C$6=0,('Market Data - EQ'!C357-'Market Data - EQ'!C358)/'Market Data - EQ'!C358,LN('Market Data - EQ'!C357/'Market Data - EQ'!C358)))</f>
        <v>-2.3860306498545071E-2</v>
      </c>
      <c r="I357" s="3">
        <f>IF('Value at Risk'!$C$5=0,'Market Data - EQ'!D357-'Market Data - EQ'!D358,IF('Value at Risk'!$C$6=0,('Market Data - EQ'!D357-'Market Data - EQ'!D358)/'Market Data - EQ'!D358,LN('Market Data - EQ'!D357/'Market Data - EQ'!D358)))</f>
        <v>-3.1746031746031744E-2</v>
      </c>
      <c r="J357" s="3">
        <f>IF('Value at Risk'!$C$5=0,'Market Data - EQ'!E357-'Market Data - EQ'!E358,IF('Value at Risk'!$C$6=0,('Market Data - EQ'!E357-'Market Data - EQ'!E358)/'Market Data - EQ'!E358,LN('Market Data - EQ'!E357/'Market Data - EQ'!E358)))</f>
        <v>-5.1981806367771275E-4</v>
      </c>
      <c r="K357" s="3">
        <f>IF('Value at Risk'!$C$5=0,'Market Data - EQ'!F357-'Market Data - EQ'!F358,IF('Value at Risk'!$C$6=0,('Market Data - EQ'!F357-'Market Data - EQ'!F358)/'Market Data - EQ'!F358,LN('Market Data - EQ'!F357/'Market Data - EQ'!F358)))</f>
        <v>-1.7208871892926011E-3</v>
      </c>
      <c r="L357" s="8">
        <f t="shared" si="5"/>
        <v>-1.267352117977128E-2</v>
      </c>
    </row>
    <row r="358" spans="1:12" x14ac:dyDescent="0.25">
      <c r="A358" s="5">
        <v>43294</v>
      </c>
      <c r="B358" s="4">
        <v>1090.4499510000001</v>
      </c>
      <c r="C358" s="4">
        <v>257.75</v>
      </c>
      <c r="D358" s="4">
        <v>267.75</v>
      </c>
      <c r="E358" s="4">
        <v>1923.75</v>
      </c>
      <c r="F358" s="4">
        <v>523</v>
      </c>
      <c r="G358" s="3">
        <f>IF('Value at Risk'!$C$5=0,'Market Data - EQ'!B358-'Market Data - EQ'!B359,IF('Value at Risk'!$C$6=0,('Market Data - EQ'!B358-'Market Data - EQ'!B359)/'Market Data - EQ'!B359,LN('Market Data - EQ'!B358/'Market Data - EQ'!B359)))</f>
        <v>6.9069135805244495E-3</v>
      </c>
      <c r="H358" s="3">
        <f>IF('Value at Risk'!$C$5=0,'Market Data - EQ'!C358-'Market Data - EQ'!C359,IF('Value at Risk'!$C$6=0,('Market Data - EQ'!C358-'Market Data - EQ'!C359)/'Market Data - EQ'!C359,LN('Market Data - EQ'!C358/'Market Data - EQ'!C359)))</f>
        <v>-1.9029495718363463E-2</v>
      </c>
      <c r="I358" s="3">
        <f>IF('Value at Risk'!$C$5=0,'Market Data - EQ'!D358-'Market Data - EQ'!D359,IF('Value at Risk'!$C$6=0,('Market Data - EQ'!D358-'Market Data - EQ'!D359)/'Market Data - EQ'!D359,LN('Market Data - EQ'!D358/'Market Data - EQ'!D359)))</f>
        <v>-1.670946823545209E-2</v>
      </c>
      <c r="J358" s="3">
        <f>IF('Value at Risk'!$C$5=0,'Market Data - EQ'!E358-'Market Data - EQ'!E359,IF('Value at Risk'!$C$6=0,('Market Data - EQ'!E358-'Market Data - EQ'!E359)/'Market Data - EQ'!E359,LN('Market Data - EQ'!E358/'Market Data - EQ'!E359)))</f>
        <v>-7.4297777889664697E-3</v>
      </c>
      <c r="K358" s="3">
        <f>IF('Value at Risk'!$C$5=0,'Market Data - EQ'!F358-'Market Data - EQ'!F359,IF('Value at Risk'!$C$6=0,('Market Data - EQ'!F358-'Market Data - EQ'!F359)/'Market Data - EQ'!F359,LN('Market Data - EQ'!F358/'Market Data - EQ'!F359)))</f>
        <v>-2.8513005822071349E-2</v>
      </c>
      <c r="L358" s="8">
        <f t="shared" si="5"/>
        <v>-1.2954966796865785E-2</v>
      </c>
    </row>
    <row r="359" spans="1:12" x14ac:dyDescent="0.25">
      <c r="A359" s="5">
        <v>43293</v>
      </c>
      <c r="B359" s="4">
        <v>1082.969971</v>
      </c>
      <c r="C359" s="4">
        <v>262.75</v>
      </c>
      <c r="D359" s="4">
        <v>272.29998799999998</v>
      </c>
      <c r="E359" s="4">
        <v>1938.150024</v>
      </c>
      <c r="F359" s="4">
        <v>538.34997599999997</v>
      </c>
      <c r="G359" s="3">
        <f>IF('Value at Risk'!$C$5=0,'Market Data - EQ'!B359-'Market Data - EQ'!B360,IF('Value at Risk'!$C$6=0,('Market Data - EQ'!B359-'Market Data - EQ'!B360)/'Market Data - EQ'!B360,LN('Market Data - EQ'!B359/'Market Data - EQ'!B360)))</f>
        <v>8.2392805656689872E-3</v>
      </c>
      <c r="H359" s="3">
        <f>IF('Value at Risk'!$C$5=0,'Market Data - EQ'!C359-'Market Data - EQ'!C360,IF('Value at Risk'!$C$6=0,('Market Data - EQ'!C359-'Market Data - EQ'!C360)/'Market Data - EQ'!C360,LN('Market Data - EQ'!C359/'Market Data - EQ'!C360)))</f>
        <v>1.4087201526348063E-2</v>
      </c>
      <c r="I359" s="3">
        <f>IF('Value at Risk'!$C$5=0,'Market Data - EQ'!D359-'Market Data - EQ'!D360,IF('Value at Risk'!$C$6=0,('Market Data - EQ'!D359-'Market Data - EQ'!D360)/'Market Data - EQ'!D360,LN('Market Data - EQ'!D359/'Market Data - EQ'!D360)))</f>
        <v>1.3209257674418547E-2</v>
      </c>
      <c r="J359" s="3">
        <f>IF('Value at Risk'!$C$5=0,'Market Data - EQ'!E359-'Market Data - EQ'!E360,IF('Value at Risk'!$C$6=0,('Market Data - EQ'!E359-'Market Data - EQ'!E360)/'Market Data - EQ'!E360,LN('Market Data - EQ'!E359/'Market Data - EQ'!E360)))</f>
        <v>1.2194471695462176E-2</v>
      </c>
      <c r="K359" s="3">
        <f>IF('Value at Risk'!$C$5=0,'Market Data - EQ'!F359-'Market Data - EQ'!F360,IF('Value at Risk'!$C$6=0,('Market Data - EQ'!F359-'Market Data - EQ'!F360)/'Market Data - EQ'!F360,LN('Market Data - EQ'!F359/'Market Data - EQ'!F360)))</f>
        <v>3.354744274078681E-3</v>
      </c>
      <c r="L359" s="8">
        <f t="shared" si="5"/>
        <v>1.0216991147195289E-2</v>
      </c>
    </row>
    <row r="360" spans="1:12" x14ac:dyDescent="0.25">
      <c r="A360" s="5">
        <v>43292</v>
      </c>
      <c r="B360" s="4">
        <v>1074.119995</v>
      </c>
      <c r="C360" s="4">
        <v>259.10000600000001</v>
      </c>
      <c r="D360" s="4">
        <v>268.75</v>
      </c>
      <c r="E360" s="4">
        <v>1914.8000489999999</v>
      </c>
      <c r="F360" s="4">
        <v>536.54998799999998</v>
      </c>
      <c r="G360" s="3">
        <f>IF('Value at Risk'!$C$5=0,'Market Data - EQ'!B360-'Market Data - EQ'!B361,IF('Value at Risk'!$C$6=0,('Market Data - EQ'!B360-'Market Data - EQ'!B361)/'Market Data - EQ'!B361,LN('Market Data - EQ'!B360/'Market Data - EQ'!B361)))</f>
        <v>8.5729038576890654E-4</v>
      </c>
      <c r="H360" s="3">
        <f>IF('Value at Risk'!$C$5=0,'Market Data - EQ'!C360-'Market Data - EQ'!C361,IF('Value at Risk'!$C$6=0,('Market Data - EQ'!C360-'Market Data - EQ'!C361)/'Market Data - EQ'!C361,LN('Market Data - EQ'!C360/'Market Data - EQ'!C361)))</f>
        <v>-1.7630309004739306E-2</v>
      </c>
      <c r="I360" s="3">
        <f>IF('Value at Risk'!$C$5=0,'Market Data - EQ'!D360-'Market Data - EQ'!D361,IF('Value at Risk'!$C$6=0,('Market Data - EQ'!D360-'Market Data - EQ'!D361)/'Market Data - EQ'!D361,LN('Market Data - EQ'!D360/'Market Data - EQ'!D361)))</f>
        <v>-1.7008025245238274E-2</v>
      </c>
      <c r="J360" s="3">
        <f>IF('Value at Risk'!$C$5=0,'Market Data - EQ'!E360-'Market Data - EQ'!E361,IF('Value at Risk'!$C$6=0,('Market Data - EQ'!E360-'Market Data - EQ'!E361)/'Market Data - EQ'!E361,LN('Market Data - EQ'!E360/'Market Data - EQ'!E361)))</f>
        <v>-1.0490376338054394E-2</v>
      </c>
      <c r="K360" s="3">
        <f>IF('Value at Risk'!$C$5=0,'Market Data - EQ'!F360-'Market Data - EQ'!F361,IF('Value at Risk'!$C$6=0,('Market Data - EQ'!F360-'Market Data - EQ'!F361)/'Market Data - EQ'!F361,LN('Market Data - EQ'!F360/'Market Data - EQ'!F361)))</f>
        <v>7.5110319972441723E-3</v>
      </c>
      <c r="L360" s="8">
        <f t="shared" si="5"/>
        <v>-7.352077641003779E-3</v>
      </c>
    </row>
    <row r="361" spans="1:12" x14ac:dyDescent="0.25">
      <c r="A361" s="5">
        <v>43291</v>
      </c>
      <c r="B361" s="4">
        <v>1073.1999510000001</v>
      </c>
      <c r="C361" s="4">
        <v>263.75</v>
      </c>
      <c r="D361" s="4">
        <v>273.39999399999999</v>
      </c>
      <c r="E361" s="4">
        <v>1935.099976</v>
      </c>
      <c r="F361" s="4">
        <v>532.54998799999998</v>
      </c>
      <c r="G361" s="3">
        <f>IF('Value at Risk'!$C$5=0,'Market Data - EQ'!B361-'Market Data - EQ'!B362,IF('Value at Risk'!$C$6=0,('Market Data - EQ'!B361-'Market Data - EQ'!B362)/'Market Data - EQ'!B362,LN('Market Data - EQ'!B361/'Market Data - EQ'!B362)))</f>
        <v>9.7664755343234606E-3</v>
      </c>
      <c r="H361" s="3">
        <f>IF('Value at Risk'!$C$5=0,'Market Data - EQ'!C361-'Market Data - EQ'!C362,IF('Value at Risk'!$C$6=0,('Market Data - EQ'!C361-'Market Data - EQ'!C362)/'Market Data - EQ'!C362,LN('Market Data - EQ'!C361/'Market Data - EQ'!C362)))</f>
        <v>8.4114398812360699E-3</v>
      </c>
      <c r="I361" s="3">
        <f>IF('Value at Risk'!$C$5=0,'Market Data - EQ'!D361-'Market Data - EQ'!D362,IF('Value at Risk'!$C$6=0,('Market Data - EQ'!D361-'Market Data - EQ'!D362)/'Market Data - EQ'!D362,LN('Market Data - EQ'!D361/'Market Data - EQ'!D362)))</f>
        <v>8.1120276646594585E-3</v>
      </c>
      <c r="J361" s="3">
        <f>IF('Value at Risk'!$C$5=0,'Market Data - EQ'!E361-'Market Data - EQ'!E362,IF('Value at Risk'!$C$6=0,('Market Data - EQ'!E361-'Market Data - EQ'!E362)/'Market Data - EQ'!E362,LN('Market Data - EQ'!E361/'Market Data - EQ'!E362)))</f>
        <v>-1.1847047142672045E-2</v>
      </c>
      <c r="K361" s="3">
        <f>IF('Value at Risk'!$C$5=0,'Market Data - EQ'!F361-'Market Data - EQ'!F362,IF('Value at Risk'!$C$6=0,('Market Data - EQ'!F361-'Market Data - EQ'!F362)/'Market Data - EQ'!F362,LN('Market Data - EQ'!F361/'Market Data - EQ'!F362)))</f>
        <v>1.3898120894811966E-2</v>
      </c>
      <c r="L361" s="8">
        <f t="shared" si="5"/>
        <v>5.6682033664717819E-3</v>
      </c>
    </row>
    <row r="362" spans="1:12" x14ac:dyDescent="0.25">
      <c r="A362" s="5">
        <v>43290</v>
      </c>
      <c r="B362" s="4">
        <v>1062.8199460000001</v>
      </c>
      <c r="C362" s="4">
        <v>261.54998799999998</v>
      </c>
      <c r="D362" s="4">
        <v>271.20001200000002</v>
      </c>
      <c r="E362" s="4">
        <v>1958.3000489999999</v>
      </c>
      <c r="F362" s="4">
        <v>525.25</v>
      </c>
      <c r="G362" s="3">
        <f>IF('Value at Risk'!$C$5=0,'Market Data - EQ'!B362-'Market Data - EQ'!B363,IF('Value at Risk'!$C$6=0,('Market Data - EQ'!B362-'Market Data - EQ'!B363)/'Market Data - EQ'!B363,LN('Market Data - EQ'!B362/'Market Data - EQ'!B363)))</f>
        <v>4.9642106603509702E-3</v>
      </c>
      <c r="H362" s="3">
        <f>IF('Value at Risk'!$C$5=0,'Market Data - EQ'!C362-'Market Data - EQ'!C363,IF('Value at Risk'!$C$6=0,('Market Data - EQ'!C362-'Market Data - EQ'!C363)/'Market Data - EQ'!C363,LN('Market Data - EQ'!C362/'Market Data - EQ'!C363)))</f>
        <v>1.6912814140926127E-2</v>
      </c>
      <c r="I362" s="3">
        <f>IF('Value at Risk'!$C$5=0,'Market Data - EQ'!D362-'Market Data - EQ'!D363,IF('Value at Risk'!$C$6=0,('Market Data - EQ'!D362-'Market Data - EQ'!D363)/'Market Data - EQ'!D363,LN('Market Data - EQ'!D362/'Market Data - EQ'!D363)))</f>
        <v>4.2585597152480911E-3</v>
      </c>
      <c r="J362" s="3">
        <f>IF('Value at Risk'!$C$5=0,'Market Data - EQ'!E362-'Market Data - EQ'!E363,IF('Value at Risk'!$C$6=0,('Market Data - EQ'!E362-'Market Data - EQ'!E363)/'Market Data - EQ'!E363,LN('Market Data - EQ'!E362/'Market Data - EQ'!E363)))</f>
        <v>-5.6138357993614364E-4</v>
      </c>
      <c r="K362" s="3">
        <f>IF('Value at Risk'!$C$5=0,'Market Data - EQ'!F362-'Market Data - EQ'!F363,IF('Value at Risk'!$C$6=0,('Market Data - EQ'!F362-'Market Data - EQ'!F363)/'Market Data - EQ'!F363,LN('Market Data - EQ'!F362/'Market Data - EQ'!F363)))</f>
        <v>2.2483916157665935E-2</v>
      </c>
      <c r="L362" s="8">
        <f t="shared" si="5"/>
        <v>9.6116234188509952E-3</v>
      </c>
    </row>
    <row r="363" spans="1:12" x14ac:dyDescent="0.25">
      <c r="A363" s="5">
        <v>43287</v>
      </c>
      <c r="B363" s="4">
        <v>1057.5699460000001</v>
      </c>
      <c r="C363" s="4">
        <v>257.20001200000002</v>
      </c>
      <c r="D363" s="4">
        <v>270.04998799999998</v>
      </c>
      <c r="E363" s="4">
        <v>1959.400024</v>
      </c>
      <c r="F363" s="4">
        <v>513.70001200000002</v>
      </c>
      <c r="G363" s="3">
        <f>IF('Value at Risk'!$C$5=0,'Market Data - EQ'!B363-'Market Data - EQ'!B364,IF('Value at Risk'!$C$6=0,('Market Data - EQ'!B363-'Market Data - EQ'!B364)/'Market Data - EQ'!B364,LN('Market Data - EQ'!B363/'Market Data - EQ'!B364)))</f>
        <v>-4.058894582914677E-3</v>
      </c>
      <c r="H363" s="3">
        <f>IF('Value at Risk'!$C$5=0,'Market Data - EQ'!C363-'Market Data - EQ'!C364,IF('Value at Risk'!$C$6=0,('Market Data - EQ'!C363-'Market Data - EQ'!C364)/'Market Data - EQ'!C364,LN('Market Data - EQ'!C363/'Market Data - EQ'!C364)))</f>
        <v>2.9245465584146666E-3</v>
      </c>
      <c r="I363" s="3">
        <f>IF('Value at Risk'!$C$5=0,'Market Data - EQ'!D363-'Market Data - EQ'!D364,IF('Value at Risk'!$C$6=0,('Market Data - EQ'!D363-'Market Data - EQ'!D364)/'Market Data - EQ'!D364,LN('Market Data - EQ'!D363/'Market Data - EQ'!D364)))</f>
        <v>-5.5238448399415876E-3</v>
      </c>
      <c r="J363" s="3">
        <f>IF('Value at Risk'!$C$5=0,'Market Data - EQ'!E363-'Market Data - EQ'!E364,IF('Value at Risk'!$C$6=0,('Market Data - EQ'!E363-'Market Data - EQ'!E364)/'Market Data - EQ'!E364,LN('Market Data - EQ'!E363/'Market Data - EQ'!E364)))</f>
        <v>-2.570656990996064E-3</v>
      </c>
      <c r="K363" s="3">
        <f>IF('Value at Risk'!$C$5=0,'Market Data - EQ'!F363-'Market Data - EQ'!F364,IF('Value at Risk'!$C$6=0,('Market Data - EQ'!F363-'Market Data - EQ'!F364)/'Market Data - EQ'!F364,LN('Market Data - EQ'!F363/'Market Data - EQ'!F364)))</f>
        <v>5.2837808219178377E-3</v>
      </c>
      <c r="L363" s="8">
        <f t="shared" si="5"/>
        <v>-7.89013806703965E-4</v>
      </c>
    </row>
    <row r="364" spans="1:12" x14ac:dyDescent="0.25">
      <c r="A364" s="5">
        <v>43286</v>
      </c>
      <c r="B364" s="4">
        <v>1061.880005</v>
      </c>
      <c r="C364" s="4">
        <v>256.45001200000002</v>
      </c>
      <c r="D364" s="4">
        <v>271.54998799999998</v>
      </c>
      <c r="E364" s="4">
        <v>1964.4499510000001</v>
      </c>
      <c r="F364" s="4">
        <v>511</v>
      </c>
      <c r="G364" s="3">
        <f>IF('Value at Risk'!$C$5=0,'Market Data - EQ'!B364-'Market Data - EQ'!B365,IF('Value at Risk'!$C$6=0,('Market Data - EQ'!B364-'Market Data - EQ'!B365)/'Market Data - EQ'!B365,LN('Market Data - EQ'!B364/'Market Data - EQ'!B365)))</f>
        <v>9.6027455565996199E-3</v>
      </c>
      <c r="H364" s="3">
        <f>IF('Value at Risk'!$C$5=0,'Market Data - EQ'!C364-'Market Data - EQ'!C365,IF('Value at Risk'!$C$6=0,('Market Data - EQ'!C364-'Market Data - EQ'!C365)/'Market Data - EQ'!C365,LN('Market Data - EQ'!C364/'Market Data - EQ'!C365)))</f>
        <v>-3.8842491877607681E-3</v>
      </c>
      <c r="I364" s="3">
        <f>IF('Value at Risk'!$C$5=0,'Market Data - EQ'!D364-'Market Data - EQ'!D365,IF('Value at Risk'!$C$6=0,('Market Data - EQ'!D364-'Market Data - EQ'!D365)/'Market Data - EQ'!D365,LN('Market Data - EQ'!D364/'Market Data - EQ'!D365)))</f>
        <v>-6.2214528819762678E-3</v>
      </c>
      <c r="J364" s="3">
        <f>IF('Value at Risk'!$C$5=0,'Market Data - EQ'!E364-'Market Data - EQ'!E365,IF('Value at Risk'!$C$6=0,('Market Data - EQ'!E364-'Market Data - EQ'!E365)/'Market Data - EQ'!E365,LN('Market Data - EQ'!E364/'Market Data - EQ'!E365)))</f>
        <v>-5.9961026697317506E-3</v>
      </c>
      <c r="K364" s="3">
        <f>IF('Value at Risk'!$C$5=0,'Market Data - EQ'!F364-'Market Data - EQ'!F365,IF('Value at Risk'!$C$6=0,('Market Data - EQ'!F364-'Market Data - EQ'!F365)/'Market Data - EQ'!F365,LN('Market Data - EQ'!F364/'Market Data - EQ'!F365)))</f>
        <v>-7.2850898494414762E-3</v>
      </c>
      <c r="L364" s="8">
        <f t="shared" si="5"/>
        <v>-2.7568298064621286E-3</v>
      </c>
    </row>
    <row r="365" spans="1:12" x14ac:dyDescent="0.25">
      <c r="A365" s="5">
        <v>43285</v>
      </c>
      <c r="B365" s="4">
        <v>1051.780029</v>
      </c>
      <c r="C365" s="4">
        <v>257.45001200000002</v>
      </c>
      <c r="D365" s="4">
        <v>273.25</v>
      </c>
      <c r="E365" s="4">
        <v>1976.3000489999999</v>
      </c>
      <c r="F365" s="4">
        <v>514.75</v>
      </c>
      <c r="G365" s="3">
        <f>IF('Value at Risk'!$C$5=0,'Market Data - EQ'!B365-'Market Data - EQ'!B366,IF('Value at Risk'!$C$6=0,('Market Data - EQ'!B365-'Market Data - EQ'!B366)/'Market Data - EQ'!B366,LN('Market Data - EQ'!B365/'Market Data - EQ'!B366)))</f>
        <v>1.6114436659981184E-2</v>
      </c>
      <c r="H365" s="3">
        <f>IF('Value at Risk'!$C$5=0,'Market Data - EQ'!C365-'Market Data - EQ'!C366,IF('Value at Risk'!$C$6=0,('Market Data - EQ'!C365-'Market Data - EQ'!C366)/'Market Data - EQ'!C366,LN('Market Data - EQ'!C365/'Market Data - EQ'!C366)))</f>
        <v>-1.9412815533974688E-4</v>
      </c>
      <c r="I365" s="3">
        <f>IF('Value at Risk'!$C$5=0,'Market Data - EQ'!D365-'Market Data - EQ'!D366,IF('Value at Risk'!$C$6=0,('Market Data - EQ'!D365-'Market Data - EQ'!D366)/'Market Data - EQ'!D366,LN('Market Data - EQ'!D365/'Market Data - EQ'!D366)))</f>
        <v>1.2825430842626094E-3</v>
      </c>
      <c r="J365" s="3">
        <f>IF('Value at Risk'!$C$5=0,'Market Data - EQ'!E365-'Market Data - EQ'!E366,IF('Value at Risk'!$C$6=0,('Market Data - EQ'!E365-'Market Data - EQ'!E366)/'Market Data - EQ'!E366,LN('Market Data - EQ'!E365/'Market Data - EQ'!E366)))</f>
        <v>1.2967733982573011E-2</v>
      </c>
      <c r="K365" s="3">
        <f>IF('Value at Risk'!$C$5=0,'Market Data - EQ'!F365-'Market Data - EQ'!F366,IF('Value at Risk'!$C$6=0,('Market Data - EQ'!F365-'Market Data - EQ'!F366)/'Market Data - EQ'!F366,LN('Market Data - EQ'!F365/'Market Data - EQ'!F366)))</f>
        <v>6.2555216011460748E-3</v>
      </c>
      <c r="L365" s="8">
        <f t="shared" si="5"/>
        <v>7.2852214345246261E-3</v>
      </c>
    </row>
    <row r="366" spans="1:12" x14ac:dyDescent="0.25">
      <c r="A366" s="5">
        <v>43284</v>
      </c>
      <c r="B366" s="4">
        <v>1035.099976</v>
      </c>
      <c r="C366" s="4">
        <v>257.5</v>
      </c>
      <c r="D366" s="4">
        <v>272.89999399999999</v>
      </c>
      <c r="E366" s="4">
        <v>1951</v>
      </c>
      <c r="F366" s="4">
        <v>511.54998799999998</v>
      </c>
      <c r="G366" s="3">
        <f>IF('Value at Risk'!$C$5=0,'Market Data - EQ'!B366-'Market Data - EQ'!B367,IF('Value at Risk'!$C$6=0,('Market Data - EQ'!B366-'Market Data - EQ'!B367)/'Market Data - EQ'!B367,LN('Market Data - EQ'!B366/'Market Data - EQ'!B367)))</f>
        <v>-1.4663222852459522E-3</v>
      </c>
      <c r="H366" s="3">
        <f>IF('Value at Risk'!$C$5=0,'Market Data - EQ'!C366-'Market Data - EQ'!C367,IF('Value at Risk'!$C$6=0,('Market Data - EQ'!C366-'Market Data - EQ'!C367)/'Market Data - EQ'!C367,LN('Market Data - EQ'!C366/'Market Data - EQ'!C367)))</f>
        <v>-5.2153987587700021E-3</v>
      </c>
      <c r="I366" s="3">
        <f>IF('Value at Risk'!$C$5=0,'Market Data - EQ'!D366-'Market Data - EQ'!D367,IF('Value at Risk'!$C$6=0,('Market Data - EQ'!D366-'Market Data - EQ'!D367)/'Market Data - EQ'!D367,LN('Market Data - EQ'!D366/'Market Data - EQ'!D367)))</f>
        <v>-1.6222062355199619E-2</v>
      </c>
      <c r="J366" s="3">
        <f>IF('Value at Risk'!$C$5=0,'Market Data - EQ'!E366-'Market Data - EQ'!E367,IF('Value at Risk'!$C$6=0,('Market Data - EQ'!E366-'Market Data - EQ'!E367)/'Market Data - EQ'!E367,LN('Market Data - EQ'!E366/'Market Data - EQ'!E367)))</f>
        <v>1.1288746637341939E-3</v>
      </c>
      <c r="K366" s="3">
        <f>IF('Value at Risk'!$C$5=0,'Market Data - EQ'!F366-'Market Data - EQ'!F367,IF('Value at Risk'!$C$6=0,('Market Data - EQ'!F366-'Market Data - EQ'!F367)/'Market Data - EQ'!F367,LN('Market Data - EQ'!F366/'Market Data - EQ'!F367)))</f>
        <v>-1.3665436798438559E-3</v>
      </c>
      <c r="L366" s="8">
        <f t="shared" si="5"/>
        <v>-4.6282904830650473E-3</v>
      </c>
    </row>
    <row r="367" spans="1:12" x14ac:dyDescent="0.25">
      <c r="A367" s="5">
        <v>43283</v>
      </c>
      <c r="B367" s="4">
        <v>1036.619995</v>
      </c>
      <c r="C367" s="4">
        <v>258.85000600000001</v>
      </c>
      <c r="D367" s="4">
        <v>277.39999399999999</v>
      </c>
      <c r="E367" s="4">
        <v>1948.8000489999999</v>
      </c>
      <c r="F367" s="4">
        <v>512.25</v>
      </c>
      <c r="G367" s="3">
        <f>IF('Value at Risk'!$C$5=0,'Market Data - EQ'!B367-'Market Data - EQ'!B368,IF('Value at Risk'!$C$6=0,('Market Data - EQ'!B367-'Market Data - EQ'!B368)/'Market Data - EQ'!B368,LN('Market Data - EQ'!B367/'Market Data - EQ'!B368)))</f>
        <v>-1.6694785229030697E-2</v>
      </c>
      <c r="H367" s="3">
        <f>IF('Value at Risk'!$C$5=0,'Market Data - EQ'!C367-'Market Data - EQ'!C368,IF('Value at Risk'!$C$6=0,('Market Data - EQ'!C367-'Market Data - EQ'!C368)/'Market Data - EQ'!C368,LN('Market Data - EQ'!C367/'Market Data - EQ'!C368)))</f>
        <v>-1.9278966201373444E-3</v>
      </c>
      <c r="I367" s="3">
        <f>IF('Value at Risk'!$C$5=0,'Market Data - EQ'!D367-'Market Data - EQ'!D368,IF('Value at Risk'!$C$6=0,('Market Data - EQ'!D367-'Market Data - EQ'!D368)/'Market Data - EQ'!D368,LN('Market Data - EQ'!D367/'Market Data - EQ'!D368)))</f>
        <v>7.2621642831263095E-3</v>
      </c>
      <c r="J367" s="3">
        <f>IF('Value at Risk'!$C$5=0,'Market Data - EQ'!E367-'Market Data - EQ'!E368,IF('Value at Risk'!$C$6=0,('Market Data - EQ'!E367-'Market Data - EQ'!E368)/'Market Data - EQ'!E368,LN('Market Data - EQ'!E367/'Market Data - EQ'!E368)))</f>
        <v>8.5912940797915841E-3</v>
      </c>
      <c r="K367" s="3">
        <f>IF('Value at Risk'!$C$5=0,'Market Data - EQ'!F367-'Market Data - EQ'!F368,IF('Value at Risk'!$C$6=0,('Market Data - EQ'!F367-'Market Data - EQ'!F368)/'Market Data - EQ'!F368,LN('Market Data - EQ'!F367/'Market Data - EQ'!F368)))</f>
        <v>2.8387079758506479E-3</v>
      </c>
      <c r="L367" s="8">
        <f t="shared" si="5"/>
        <v>1.3896897920099433E-5</v>
      </c>
    </row>
    <row r="368" spans="1:12" x14ac:dyDescent="0.25">
      <c r="A368" s="5">
        <v>43280</v>
      </c>
      <c r="B368" s="4">
        <v>1054.219971</v>
      </c>
      <c r="C368" s="4">
        <v>259.35000600000001</v>
      </c>
      <c r="D368" s="4">
        <v>275.39999399999999</v>
      </c>
      <c r="E368" s="4">
        <v>1932.1999510000001</v>
      </c>
      <c r="F368" s="4">
        <v>510.79998799999998</v>
      </c>
      <c r="G368" s="3">
        <f>IF('Value at Risk'!$C$5=0,'Market Data - EQ'!B368-'Market Data - EQ'!B369,IF('Value at Risk'!$C$6=0,('Market Data - EQ'!B368-'Market Data - EQ'!B369)/'Market Data - EQ'!B369,LN('Market Data - EQ'!B368/'Market Data - EQ'!B369)))</f>
        <v>-1.0521650818759372E-2</v>
      </c>
      <c r="H368" s="3">
        <f>IF('Value at Risk'!$C$5=0,'Market Data - EQ'!C368-'Market Data - EQ'!C369,IF('Value at Risk'!$C$6=0,('Market Data - EQ'!C368-'Market Data - EQ'!C369)/'Market Data - EQ'!C369,LN('Market Data - EQ'!C368/'Market Data - EQ'!C369)))</f>
        <v>9.1439922178988622E-3</v>
      </c>
      <c r="I368" s="3">
        <f>IF('Value at Risk'!$C$5=0,'Market Data - EQ'!D368-'Market Data - EQ'!D369,IF('Value at Risk'!$C$6=0,('Market Data - EQ'!D368-'Market Data - EQ'!D369)/'Market Data - EQ'!D369,LN('Market Data - EQ'!D368/'Market Data - EQ'!D369)))</f>
        <v>1.4738393840937227E-2</v>
      </c>
      <c r="J368" s="3">
        <f>IF('Value at Risk'!$C$5=0,'Market Data - EQ'!E368-'Market Data - EQ'!E369,IF('Value at Risk'!$C$6=0,('Market Data - EQ'!E368-'Market Data - EQ'!E369)/'Market Data - EQ'!E369,LN('Market Data - EQ'!E368/'Market Data - EQ'!E369)))</f>
        <v>-1.7991474604490396E-2</v>
      </c>
      <c r="K368" s="3">
        <f>IF('Value at Risk'!$C$5=0,'Market Data - EQ'!F368-'Market Data - EQ'!F369,IF('Value at Risk'!$C$6=0,('Market Data - EQ'!F368-'Market Data - EQ'!F369)/'Market Data - EQ'!F369,LN('Market Data - EQ'!F368/'Market Data - EQ'!F369)))</f>
        <v>1.2286924150373428E-2</v>
      </c>
      <c r="L368" s="8">
        <f t="shared" si="5"/>
        <v>1.5312369571919501E-3</v>
      </c>
    </row>
    <row r="369" spans="1:12" x14ac:dyDescent="0.25">
      <c r="A369" s="5">
        <v>43279</v>
      </c>
      <c r="B369" s="4">
        <v>1065.4300539999999</v>
      </c>
      <c r="C369" s="4">
        <v>257</v>
      </c>
      <c r="D369" s="4">
        <v>271.39999399999999</v>
      </c>
      <c r="E369" s="4">
        <v>1967.599976</v>
      </c>
      <c r="F369" s="4">
        <v>504.60000600000001</v>
      </c>
      <c r="G369" s="3">
        <f>IF('Value at Risk'!$C$5=0,'Market Data - EQ'!B369-'Market Data - EQ'!B370,IF('Value at Risk'!$C$6=0,('Market Data - EQ'!B369-'Market Data - EQ'!B370)/'Market Data - EQ'!B370,LN('Market Data - EQ'!B369/'Market Data - EQ'!B370)))</f>
        <v>8.6433821608200862E-3</v>
      </c>
      <c r="H369" s="3">
        <f>IF('Value at Risk'!$C$5=0,'Market Data - EQ'!C369-'Market Data - EQ'!C370,IF('Value at Risk'!$C$6=0,('Market Data - EQ'!C369-'Market Data - EQ'!C370)/'Market Data - EQ'!C370,LN('Market Data - EQ'!C369/'Market Data - EQ'!C370)))</f>
        <v>-1.7959540636169381E-2</v>
      </c>
      <c r="I369" s="3">
        <f>IF('Value at Risk'!$C$5=0,'Market Data - EQ'!D369-'Market Data - EQ'!D370,IF('Value at Risk'!$C$6=0,('Market Data - EQ'!D369-'Market Data - EQ'!D370)/'Market Data - EQ'!D370,LN('Market Data - EQ'!D369/'Market Data - EQ'!D370)))</f>
        <v>-2.7414421533678734E-2</v>
      </c>
      <c r="J369" s="3">
        <f>IF('Value at Risk'!$C$5=0,'Market Data - EQ'!E369-'Market Data - EQ'!E370,IF('Value at Risk'!$C$6=0,('Market Data - EQ'!E369-'Market Data - EQ'!E370)/'Market Data - EQ'!E370,LN('Market Data - EQ'!E369/'Market Data - EQ'!E370)))</f>
        <v>-8.3789462993526991E-4</v>
      </c>
      <c r="K369" s="3">
        <f>IF('Value at Risk'!$C$5=0,'Market Data - EQ'!F369-'Market Data - EQ'!F370,IF('Value at Risk'!$C$6=0,('Market Data - EQ'!F369-'Market Data - EQ'!F370)/'Market Data - EQ'!F370,LN('Market Data - EQ'!F369/'Market Data - EQ'!F370)))</f>
        <v>-6.3995273439063421E-3</v>
      </c>
      <c r="L369" s="8">
        <f t="shared" si="5"/>
        <v>-8.7936003965739286E-3</v>
      </c>
    </row>
    <row r="370" spans="1:12" x14ac:dyDescent="0.25">
      <c r="A370" s="5">
        <v>43278</v>
      </c>
      <c r="B370" s="4">
        <v>1056.3000489999999</v>
      </c>
      <c r="C370" s="4">
        <v>261.70001200000002</v>
      </c>
      <c r="D370" s="4">
        <v>279.04998799999998</v>
      </c>
      <c r="E370" s="4">
        <v>1969.25</v>
      </c>
      <c r="F370" s="4">
        <v>507.85000600000001</v>
      </c>
      <c r="G370" s="3">
        <f>IF('Value at Risk'!$C$5=0,'Market Data - EQ'!B370-'Market Data - EQ'!B371,IF('Value at Risk'!$C$6=0,('Market Data - EQ'!B370-'Market Data - EQ'!B371)/'Market Data - EQ'!B371,LN('Market Data - EQ'!B370/'Market Data - EQ'!B371)))</f>
        <v>9.0271511836954709E-3</v>
      </c>
      <c r="H370" s="3">
        <f>IF('Value at Risk'!$C$5=0,'Market Data - EQ'!C370-'Market Data - EQ'!C371,IF('Value at Risk'!$C$6=0,('Market Data - EQ'!C370-'Market Data - EQ'!C371)/'Market Data - EQ'!C371,LN('Market Data - EQ'!C370/'Market Data - EQ'!C371)))</f>
        <v>-2.1316313118540972E-2</v>
      </c>
      <c r="I370" s="3">
        <f>IF('Value at Risk'!$C$5=0,'Market Data - EQ'!D370-'Market Data - EQ'!D371,IF('Value at Risk'!$C$6=0,('Market Data - EQ'!D370-'Market Data - EQ'!D371)/'Market Data - EQ'!D371,LN('Market Data - EQ'!D370/'Market Data - EQ'!D371)))</f>
        <v>-3.1412765746349977E-2</v>
      </c>
      <c r="J370" s="3">
        <f>IF('Value at Risk'!$C$5=0,'Market Data - EQ'!E370-'Market Data - EQ'!E371,IF('Value at Risk'!$C$6=0,('Market Data - EQ'!E370-'Market Data - EQ'!E371)/'Market Data - EQ'!E371,LN('Market Data - EQ'!E370/'Market Data - EQ'!E371)))</f>
        <v>-7.0841772061086376E-3</v>
      </c>
      <c r="K370" s="3">
        <f>IF('Value at Risk'!$C$5=0,'Market Data - EQ'!F370-'Market Data - EQ'!F371,IF('Value at Risk'!$C$6=0,('Market Data - EQ'!F370-'Market Data - EQ'!F371)/'Market Data - EQ'!F371,LN('Market Data - EQ'!F370/'Market Data - EQ'!F371)))</f>
        <v>-1.2349291816041434E-2</v>
      </c>
      <c r="L370" s="8">
        <f t="shared" si="5"/>
        <v>-1.2627079340669112E-2</v>
      </c>
    </row>
    <row r="371" spans="1:12" x14ac:dyDescent="0.25">
      <c r="A371" s="5">
        <v>43277</v>
      </c>
      <c r="B371" s="4">
        <v>1046.849976</v>
      </c>
      <c r="C371" s="4">
        <v>267.39999399999999</v>
      </c>
      <c r="D371" s="4">
        <v>288.10000600000001</v>
      </c>
      <c r="E371" s="4">
        <v>1983.3000489999999</v>
      </c>
      <c r="F371" s="4">
        <v>514.20001200000002</v>
      </c>
      <c r="G371" s="3">
        <f>IF('Value at Risk'!$C$5=0,'Market Data - EQ'!B371-'Market Data - EQ'!B372,IF('Value at Risk'!$C$6=0,('Market Data - EQ'!B371-'Market Data - EQ'!B372)/'Market Data - EQ'!B372,LN('Market Data - EQ'!B371/'Market Data - EQ'!B372)))</f>
        <v>-5.9189763636672047E-4</v>
      </c>
      <c r="H371" s="3">
        <f>IF('Value at Risk'!$C$5=0,'Market Data - EQ'!C371-'Market Data - EQ'!C372,IF('Value at Risk'!$C$6=0,('Market Data - EQ'!C371-'Market Data - EQ'!C372)/'Market Data - EQ'!C372,LN('Market Data - EQ'!C371/'Market Data - EQ'!C372)))</f>
        <v>-3.9114097711421322E-3</v>
      </c>
      <c r="I371" s="3">
        <f>IF('Value at Risk'!$C$5=0,'Market Data - EQ'!D371-'Market Data - EQ'!D372,IF('Value at Risk'!$C$6=0,('Market Data - EQ'!D371-'Market Data - EQ'!D372)/'Market Data - EQ'!D372,LN('Market Data - EQ'!D371/'Market Data - EQ'!D372)))</f>
        <v>-5.5229752631146163E-3</v>
      </c>
      <c r="J371" s="3">
        <f>IF('Value at Risk'!$C$5=0,'Market Data - EQ'!E371-'Market Data - EQ'!E372,IF('Value at Risk'!$C$6=0,('Market Data - EQ'!E371-'Market Data - EQ'!E372)/'Market Data - EQ'!E372,LN('Market Data - EQ'!E371/'Market Data - EQ'!E372)))</f>
        <v>6.7768716627663646E-3</v>
      </c>
      <c r="K371" s="3">
        <f>IF('Value at Risk'!$C$5=0,'Market Data - EQ'!F371-'Market Data - EQ'!F372,IF('Value at Risk'!$C$6=0,('Market Data - EQ'!F371-'Market Data - EQ'!F372)/'Market Data - EQ'!F372,LN('Market Data - EQ'!F371/'Market Data - EQ'!F372)))</f>
        <v>-1.9409937436103942E-3</v>
      </c>
      <c r="L371" s="8">
        <f t="shared" si="5"/>
        <v>-1.0380809502934997E-3</v>
      </c>
    </row>
    <row r="372" spans="1:12" x14ac:dyDescent="0.25">
      <c r="A372" s="5">
        <v>43276</v>
      </c>
      <c r="B372" s="4">
        <v>1047.469971</v>
      </c>
      <c r="C372" s="4">
        <v>268.45001200000002</v>
      </c>
      <c r="D372" s="4">
        <v>289.70001200000002</v>
      </c>
      <c r="E372" s="4">
        <v>1969.9499510000001</v>
      </c>
      <c r="F372" s="4">
        <v>515.20001200000002</v>
      </c>
      <c r="G372" s="3">
        <f>IF('Value at Risk'!$C$5=0,'Market Data - EQ'!B372-'Market Data - EQ'!B373,IF('Value at Risk'!$C$6=0,('Market Data - EQ'!B372-'Market Data - EQ'!B373)/'Market Data - EQ'!B373,LN('Market Data - EQ'!B372/'Market Data - EQ'!B373)))</f>
        <v>5.5582488862746908E-3</v>
      </c>
      <c r="H372" s="3">
        <f>IF('Value at Risk'!$C$5=0,'Market Data - EQ'!C372-'Market Data - EQ'!C373,IF('Value at Risk'!$C$6=0,('Market Data - EQ'!C372-'Market Data - EQ'!C373)/'Market Data - EQ'!C373,LN('Market Data - EQ'!C372/'Market Data - EQ'!C373)))</f>
        <v>-1.6846644212267718E-2</v>
      </c>
      <c r="I372" s="3">
        <f>IF('Value at Risk'!$C$5=0,'Market Data - EQ'!D372-'Market Data - EQ'!D373,IF('Value at Risk'!$C$6=0,('Market Data - EQ'!D372-'Market Data - EQ'!D373)/'Market Data - EQ'!D373,LN('Market Data - EQ'!D372/'Market Data - EQ'!D373)))</f>
        <v>-3.6421028500003817E-2</v>
      </c>
      <c r="J372" s="3">
        <f>IF('Value at Risk'!$C$5=0,'Market Data - EQ'!E372-'Market Data - EQ'!E373,IF('Value at Risk'!$C$6=0,('Market Data - EQ'!E372-'Market Data - EQ'!E373)/'Market Data - EQ'!E373,LN('Market Data - EQ'!E372/'Market Data - EQ'!E373)))</f>
        <v>8.549827723025755E-3</v>
      </c>
      <c r="K372" s="3">
        <f>IF('Value at Risk'!$C$5=0,'Market Data - EQ'!F372-'Market Data - EQ'!F373,IF('Value at Risk'!$C$6=0,('Market Data - EQ'!F372-'Market Data - EQ'!F373)/'Market Data - EQ'!F373,LN('Market Data - EQ'!F372/'Market Data - EQ'!F373)))</f>
        <v>-1.9880170308905026E-2</v>
      </c>
      <c r="L372" s="8">
        <f t="shared" si="5"/>
        <v>-1.1807953282375222E-2</v>
      </c>
    </row>
    <row r="373" spans="1:12" x14ac:dyDescent="0.25">
      <c r="A373" s="5">
        <v>43273</v>
      </c>
      <c r="B373" s="4">
        <v>1041.6800539999999</v>
      </c>
      <c r="C373" s="4">
        <v>273.04998799999998</v>
      </c>
      <c r="D373" s="4">
        <v>300.64999399999999</v>
      </c>
      <c r="E373" s="4">
        <v>1953.25</v>
      </c>
      <c r="F373" s="4">
        <v>525.65002400000003</v>
      </c>
      <c r="G373" s="3">
        <f>IF('Value at Risk'!$C$5=0,'Market Data - EQ'!B373-'Market Data - EQ'!B374,IF('Value at Risk'!$C$6=0,('Market Data - EQ'!B373-'Market Data - EQ'!B374)/'Market Data - EQ'!B374,LN('Market Data - EQ'!B373/'Market Data - EQ'!B374)))</f>
        <v>1.2519444388167971E-2</v>
      </c>
      <c r="H373" s="3">
        <f>IF('Value at Risk'!$C$5=0,'Market Data - EQ'!C373-'Market Data - EQ'!C374,IF('Value at Risk'!$C$6=0,('Market Data - EQ'!C373-'Market Data - EQ'!C374)/'Market Data - EQ'!C374,LN('Market Data - EQ'!C373/'Market Data - EQ'!C374)))</f>
        <v>1.6378165264355048E-2</v>
      </c>
      <c r="I373" s="3">
        <f>IF('Value at Risk'!$C$5=0,'Market Data - EQ'!D373-'Market Data - EQ'!D374,IF('Value at Risk'!$C$6=0,('Market Data - EQ'!D373-'Market Data - EQ'!D374)/'Market Data - EQ'!D374,LN('Market Data - EQ'!D373/'Market Data - EQ'!D374)))</f>
        <v>9.0618623636772241E-3</v>
      </c>
      <c r="J373" s="3">
        <f>IF('Value at Risk'!$C$5=0,'Market Data - EQ'!E373-'Market Data - EQ'!E374,IF('Value at Risk'!$C$6=0,('Market Data - EQ'!E373-'Market Data - EQ'!E374)/'Market Data - EQ'!E374,LN('Market Data - EQ'!E373/'Market Data - EQ'!E374)))</f>
        <v>-3.6980362152512114E-3</v>
      </c>
      <c r="K373" s="3">
        <f>IF('Value at Risk'!$C$5=0,'Market Data - EQ'!F373-'Market Data - EQ'!F374,IF('Value at Risk'!$C$6=0,('Market Data - EQ'!F373-'Market Data - EQ'!F374)/'Market Data - EQ'!F374,LN('Market Data - EQ'!F373/'Market Data - EQ'!F374)))</f>
        <v>2.4559080586120285E-2</v>
      </c>
      <c r="L373" s="8">
        <f t="shared" si="5"/>
        <v>1.1764103277413862E-2</v>
      </c>
    </row>
    <row r="374" spans="1:12" x14ac:dyDescent="0.25">
      <c r="A374" s="5">
        <v>43272</v>
      </c>
      <c r="B374" s="4">
        <v>1028.8000489999999</v>
      </c>
      <c r="C374" s="4">
        <v>268.64999399999999</v>
      </c>
      <c r="D374" s="4">
        <v>297.95001200000002</v>
      </c>
      <c r="E374" s="4">
        <v>1960.5</v>
      </c>
      <c r="F374" s="4">
        <v>513.04998799999998</v>
      </c>
      <c r="G374" s="3">
        <f>IF('Value at Risk'!$C$5=0,'Market Data - EQ'!B374-'Market Data - EQ'!B375,IF('Value at Risk'!$C$6=0,('Market Data - EQ'!B374-'Market Data - EQ'!B375)/'Market Data - EQ'!B375,LN('Market Data - EQ'!B374/'Market Data - EQ'!B375)))</f>
        <v>7.101686055900634E-4</v>
      </c>
      <c r="H374" s="3">
        <f>IF('Value at Risk'!$C$5=0,'Market Data - EQ'!C374-'Market Data - EQ'!C375,IF('Value at Risk'!$C$6=0,('Market Data - EQ'!C374-'Market Data - EQ'!C375)/'Market Data - EQ'!C375,LN('Market Data - EQ'!C374/'Market Data - EQ'!C375)))</f>
        <v>-1.7014248826092128E-2</v>
      </c>
      <c r="I374" s="3">
        <f>IF('Value at Risk'!$C$5=0,'Market Data - EQ'!D374-'Market Data - EQ'!D375,IF('Value at Risk'!$C$6=0,('Market Data - EQ'!D374-'Market Data - EQ'!D375)/'Market Data - EQ'!D375,LN('Market Data - EQ'!D374/'Market Data - EQ'!D375)))</f>
        <v>1.6200545039541131E-2</v>
      </c>
      <c r="J374" s="3">
        <f>IF('Value at Risk'!$C$5=0,'Market Data - EQ'!E374-'Market Data - EQ'!E375,IF('Value at Risk'!$C$6=0,('Market Data - EQ'!E374-'Market Data - EQ'!E375)/'Market Data - EQ'!E375,LN('Market Data - EQ'!E374/'Market Data - EQ'!E375)))</f>
        <v>-3.5071789752097867E-3</v>
      </c>
      <c r="K374" s="3">
        <f>IF('Value at Risk'!$C$5=0,'Market Data - EQ'!F374-'Market Data - EQ'!F375,IF('Value at Risk'!$C$6=0,('Market Data - EQ'!F374-'Market Data - EQ'!F375)/'Market Data - EQ'!F375,LN('Market Data - EQ'!F374/'Market Data - EQ'!F375)))</f>
        <v>-1.1654764553485523E-2</v>
      </c>
      <c r="L374" s="8">
        <f t="shared" si="5"/>
        <v>-3.0530957419312487E-3</v>
      </c>
    </row>
    <row r="375" spans="1:12" x14ac:dyDescent="0.25">
      <c r="A375" s="5">
        <v>43271</v>
      </c>
      <c r="B375" s="4">
        <v>1028.0699460000001</v>
      </c>
      <c r="C375" s="4">
        <v>273.29998799999998</v>
      </c>
      <c r="D375" s="4">
        <v>293.20001200000002</v>
      </c>
      <c r="E375" s="4">
        <v>1967.400024</v>
      </c>
      <c r="F375" s="4">
        <v>519.09997599999997</v>
      </c>
      <c r="G375" s="3">
        <f>IF('Value at Risk'!$C$5=0,'Market Data - EQ'!B375-'Market Data - EQ'!B376,IF('Value at Risk'!$C$6=0,('Market Data - EQ'!B375-'Market Data - EQ'!B376)/'Market Data - EQ'!B376,LN('Market Data - EQ'!B375/'Market Data - EQ'!B376)))</f>
        <v>1.6130413639733207E-2</v>
      </c>
      <c r="H375" s="3">
        <f>IF('Value at Risk'!$C$5=0,'Market Data - EQ'!C375-'Market Data - EQ'!C376,IF('Value at Risk'!$C$6=0,('Market Data - EQ'!C375-'Market Data - EQ'!C376)/'Market Data - EQ'!C376,LN('Market Data - EQ'!C375/'Market Data - EQ'!C376)))</f>
        <v>2.5677989163359637E-3</v>
      </c>
      <c r="I375" s="3">
        <f>IF('Value at Risk'!$C$5=0,'Market Data - EQ'!D375-'Market Data - EQ'!D376,IF('Value at Risk'!$C$6=0,('Market Data - EQ'!D375-'Market Data - EQ'!D376)/'Market Data - EQ'!D376,LN('Market Data - EQ'!D375/'Market Data - EQ'!D376)))</f>
        <v>1.3662022417843486E-3</v>
      </c>
      <c r="J375" s="3">
        <f>IF('Value at Risk'!$C$5=0,'Market Data - EQ'!E375-'Market Data - EQ'!E376,IF('Value at Risk'!$C$6=0,('Market Data - EQ'!E375-'Market Data - EQ'!E376)/'Market Data - EQ'!E376,LN('Market Data - EQ'!E375/'Market Data - EQ'!E376)))</f>
        <v>1.8586603158167243E-2</v>
      </c>
      <c r="K375" s="3">
        <f>IF('Value at Risk'!$C$5=0,'Market Data - EQ'!F375-'Market Data - EQ'!F376,IF('Value at Risk'!$C$6=0,('Market Data - EQ'!F375-'Market Data - EQ'!F376)/'Market Data - EQ'!F376,LN('Market Data - EQ'!F375/'Market Data - EQ'!F376)))</f>
        <v>3.6735575327093272E-3</v>
      </c>
      <c r="L375" s="8">
        <f t="shared" si="5"/>
        <v>8.4649150977460196E-3</v>
      </c>
    </row>
    <row r="376" spans="1:12" x14ac:dyDescent="0.25">
      <c r="A376" s="5">
        <v>43270</v>
      </c>
      <c r="B376" s="4">
        <v>1011.75</v>
      </c>
      <c r="C376" s="4">
        <v>272.60000600000001</v>
      </c>
      <c r="D376" s="4">
        <v>292.79998799999998</v>
      </c>
      <c r="E376" s="4">
        <v>1931.5</v>
      </c>
      <c r="F376" s="4">
        <v>517.20001200000002</v>
      </c>
      <c r="G376" s="3">
        <f>IF('Value at Risk'!$C$5=0,'Market Data - EQ'!B376-'Market Data - EQ'!B377,IF('Value at Risk'!$C$6=0,('Market Data - EQ'!B376-'Market Data - EQ'!B377)/'Market Data - EQ'!B377,LN('Market Data - EQ'!B376/'Market Data - EQ'!B377)))</f>
        <v>2.1493917901110773E-3</v>
      </c>
      <c r="H376" s="3">
        <f>IF('Value at Risk'!$C$5=0,'Market Data - EQ'!C376-'Market Data - EQ'!C377,IF('Value at Risk'!$C$6=0,('Market Data - EQ'!C376-'Market Data - EQ'!C377)/'Market Data - EQ'!C377,LN('Market Data - EQ'!C376/'Market Data - EQ'!C377)))</f>
        <v>-1.5351272919965188E-2</v>
      </c>
      <c r="I376" s="3">
        <f>IF('Value at Risk'!$C$5=0,'Market Data - EQ'!D376-'Market Data - EQ'!D377,IF('Value at Risk'!$C$6=0,('Market Data - EQ'!D376-'Market Data - EQ'!D377)/'Market Data - EQ'!D377,LN('Market Data - EQ'!D376/'Market Data - EQ'!D377)))</f>
        <v>-6.8263481228674123E-4</v>
      </c>
      <c r="J376" s="3">
        <f>IF('Value at Risk'!$C$5=0,'Market Data - EQ'!E376-'Market Data - EQ'!E377,IF('Value at Risk'!$C$6=0,('Market Data - EQ'!E376-'Market Data - EQ'!E377)/'Market Data - EQ'!E377,LN('Market Data - EQ'!E376/'Market Data - EQ'!E377)))</f>
        <v>-1.8521787600075026E-2</v>
      </c>
      <c r="K376" s="3">
        <f>IF('Value at Risk'!$C$5=0,'Market Data - EQ'!F376-'Market Data - EQ'!F377,IF('Value at Risk'!$C$6=0,('Market Data - EQ'!F376-'Market Data - EQ'!F377)/'Market Data - EQ'!F377,LN('Market Data - EQ'!F376/'Market Data - EQ'!F377)))</f>
        <v>-1.023820901896178E-2</v>
      </c>
      <c r="L376" s="8">
        <f t="shared" si="5"/>
        <v>-8.5289025122355332E-3</v>
      </c>
    </row>
    <row r="377" spans="1:12" x14ac:dyDescent="0.25">
      <c r="A377" s="5">
        <v>43269</v>
      </c>
      <c r="B377" s="4">
        <v>1009.580017</v>
      </c>
      <c r="C377" s="4">
        <v>276.85000600000001</v>
      </c>
      <c r="D377" s="4">
        <v>293</v>
      </c>
      <c r="E377" s="4">
        <v>1967.9499510000001</v>
      </c>
      <c r="F377" s="4">
        <v>522.54998799999998</v>
      </c>
      <c r="G377" s="3">
        <f>IF('Value at Risk'!$C$5=0,'Market Data - EQ'!B377-'Market Data - EQ'!B378,IF('Value at Risk'!$C$6=0,('Market Data - EQ'!B377-'Market Data - EQ'!B378)/'Market Data - EQ'!B378,LN('Market Data - EQ'!B377/'Market Data - EQ'!B378)))</f>
        <v>-5.1438421972074232E-3</v>
      </c>
      <c r="H377" s="3">
        <f>IF('Value at Risk'!$C$5=0,'Market Data - EQ'!C377-'Market Data - EQ'!C378,IF('Value at Risk'!$C$6=0,('Market Data - EQ'!C377-'Market Data - EQ'!C378)/'Market Data - EQ'!C378,LN('Market Data - EQ'!C377/'Market Data - EQ'!C378)))</f>
        <v>-2.1625733431217425E-3</v>
      </c>
      <c r="I377" s="3">
        <f>IF('Value at Risk'!$C$5=0,'Market Data - EQ'!D377-'Market Data - EQ'!D378,IF('Value at Risk'!$C$6=0,('Market Data - EQ'!D377-'Market Data - EQ'!D378)/'Market Data - EQ'!D378,LN('Market Data - EQ'!D377/'Market Data - EQ'!D378)))</f>
        <v>3.7168141592920353E-2</v>
      </c>
      <c r="J377" s="3">
        <f>IF('Value at Risk'!$C$5=0,'Market Data - EQ'!E377-'Market Data - EQ'!E378,IF('Value at Risk'!$C$6=0,('Market Data - EQ'!E377-'Market Data - EQ'!E378)/'Market Data - EQ'!E378,LN('Market Data - EQ'!E377/'Market Data - EQ'!E378)))</f>
        <v>3.0496607483125609E-4</v>
      </c>
      <c r="K377" s="3">
        <f>IF('Value at Risk'!$C$5=0,'Market Data - EQ'!F377-'Market Data - EQ'!F378,IF('Value at Risk'!$C$6=0,('Market Data - EQ'!F377-'Market Data - EQ'!F378)/'Market Data - EQ'!F378,LN('Market Data - EQ'!F377/'Market Data - EQ'!F378)))</f>
        <v>-1.1725791016548493E-2</v>
      </c>
      <c r="L377" s="8">
        <f t="shared" si="5"/>
        <v>3.6881802221747904E-3</v>
      </c>
    </row>
    <row r="378" spans="1:12" x14ac:dyDescent="0.25">
      <c r="A378" s="5">
        <v>43266</v>
      </c>
      <c r="B378" s="4">
        <v>1014.799988</v>
      </c>
      <c r="C378" s="4">
        <v>277.45001200000002</v>
      </c>
      <c r="D378" s="4">
        <v>282.5</v>
      </c>
      <c r="E378" s="4">
        <v>1967.349976</v>
      </c>
      <c r="F378" s="4">
        <v>528.75</v>
      </c>
      <c r="G378" s="3">
        <f>IF('Value at Risk'!$C$5=0,'Market Data - EQ'!B378-'Market Data - EQ'!B379,IF('Value at Risk'!$C$6=0,('Market Data - EQ'!B378-'Market Data - EQ'!B379)/'Market Data - EQ'!B379,LN('Market Data - EQ'!B378/'Market Data - EQ'!B379)))</f>
        <v>-3.8284322705986482E-3</v>
      </c>
      <c r="H378" s="3">
        <f>IF('Value at Risk'!$C$5=0,'Market Data - EQ'!C378-'Market Data - EQ'!C379,IF('Value at Risk'!$C$6=0,('Market Data - EQ'!C378-'Market Data - EQ'!C379)/'Market Data - EQ'!C379,LN('Market Data - EQ'!C378/'Market Data - EQ'!C379)))</f>
        <v>-1.8223616032053417E-2</v>
      </c>
      <c r="I378" s="3">
        <f>IF('Value at Risk'!$C$5=0,'Market Data - EQ'!D378-'Market Data - EQ'!D379,IF('Value at Risk'!$C$6=0,('Market Data - EQ'!D378-'Market Data - EQ'!D379)/'Market Data - EQ'!D379,LN('Market Data - EQ'!D378/'Market Data - EQ'!D379)))</f>
        <v>-7.9016681299385431E-3</v>
      </c>
      <c r="J378" s="3">
        <f>IF('Value at Risk'!$C$5=0,'Market Data - EQ'!E378-'Market Data - EQ'!E379,IF('Value at Risk'!$C$6=0,('Market Data - EQ'!E378-'Market Data - EQ'!E379)/'Market Data - EQ'!E379,LN('Market Data - EQ'!E378/'Market Data - EQ'!E379)))</f>
        <v>2.0117917651609131E-3</v>
      </c>
      <c r="K378" s="3">
        <f>IF('Value at Risk'!$C$5=0,'Market Data - EQ'!F378-'Market Data - EQ'!F379,IF('Value at Risk'!$C$6=0,('Market Data - EQ'!F378-'Market Data - EQ'!F379)/'Market Data - EQ'!F379,LN('Market Data - EQ'!F378/'Market Data - EQ'!F379)))</f>
        <v>-6.1090225563909771E-3</v>
      </c>
      <c r="L378" s="8">
        <f t="shared" si="5"/>
        <v>-6.8101894447641339E-3</v>
      </c>
    </row>
    <row r="379" spans="1:12" x14ac:dyDescent="0.25">
      <c r="A379" s="5">
        <v>43265</v>
      </c>
      <c r="B379" s="4">
        <v>1018.700012</v>
      </c>
      <c r="C379" s="4">
        <v>282.60000600000001</v>
      </c>
      <c r="D379" s="4">
        <v>284.75</v>
      </c>
      <c r="E379" s="4">
        <v>1963.400024</v>
      </c>
      <c r="F379" s="4">
        <v>532</v>
      </c>
      <c r="G379" s="3">
        <f>IF('Value at Risk'!$C$5=0,'Market Data - EQ'!B379-'Market Data - EQ'!B380,IF('Value at Risk'!$C$6=0,('Market Data - EQ'!B379-'Market Data - EQ'!B380)/'Market Data - EQ'!B380,LN('Market Data - EQ'!B379/'Market Data - EQ'!B380)))</f>
        <v>2.9339198648089086E-3</v>
      </c>
      <c r="H379" s="3">
        <f>IF('Value at Risk'!$C$5=0,'Market Data - EQ'!C379-'Market Data - EQ'!C380,IF('Value at Risk'!$C$6=0,('Market Data - EQ'!C379-'Market Data - EQ'!C380)/'Market Data - EQ'!C380,LN('Market Data - EQ'!C379/'Market Data - EQ'!C380)))</f>
        <v>-1.7726818864366289E-2</v>
      </c>
      <c r="I379" s="3">
        <f>IF('Value at Risk'!$C$5=0,'Market Data - EQ'!D379-'Market Data - EQ'!D380,IF('Value at Risk'!$C$6=0,('Market Data - EQ'!D379-'Market Data - EQ'!D380)/'Market Data - EQ'!D380,LN('Market Data - EQ'!D379/'Market Data - EQ'!D380)))</f>
        <v>-2.063628546861565E-2</v>
      </c>
      <c r="J379" s="3">
        <f>IF('Value at Risk'!$C$5=0,'Market Data - EQ'!E379-'Market Data - EQ'!E380,IF('Value at Risk'!$C$6=0,('Market Data - EQ'!E379-'Market Data - EQ'!E380)/'Market Data - EQ'!E380,LN('Market Data - EQ'!E379/'Market Data - EQ'!E380)))</f>
        <v>9.2266948274733456E-3</v>
      </c>
      <c r="K379" s="3">
        <f>IF('Value at Risk'!$C$5=0,'Market Data - EQ'!F379-'Market Data - EQ'!F380,IF('Value at Risk'!$C$6=0,('Market Data - EQ'!F379-'Market Data - EQ'!F380)/'Market Data - EQ'!F380,LN('Market Data - EQ'!F379/'Market Data - EQ'!F380)))</f>
        <v>-1.5999303830605268E-2</v>
      </c>
      <c r="L379" s="8">
        <f t="shared" si="5"/>
        <v>-8.4403586942609909E-3</v>
      </c>
    </row>
    <row r="380" spans="1:12" x14ac:dyDescent="0.25">
      <c r="A380" s="5">
        <v>43264</v>
      </c>
      <c r="B380" s="4">
        <v>1015.719971</v>
      </c>
      <c r="C380" s="4">
        <v>287.70001200000002</v>
      </c>
      <c r="D380" s="4">
        <v>290.75</v>
      </c>
      <c r="E380" s="4">
        <v>1945.4499510000001</v>
      </c>
      <c r="F380" s="4">
        <v>540.65002400000003</v>
      </c>
      <c r="G380" s="3">
        <f>IF('Value at Risk'!$C$5=0,'Market Data - EQ'!B380-'Market Data - EQ'!B381,IF('Value at Risk'!$C$6=0,('Market Data - EQ'!B380-'Market Data - EQ'!B381)/'Market Data - EQ'!B381,LN('Market Data - EQ'!B380/'Market Data - EQ'!B381)))</f>
        <v>-6.0670229598592902E-3</v>
      </c>
      <c r="H380" s="3">
        <f>IF('Value at Risk'!$C$5=0,'Market Data - EQ'!C380-'Market Data - EQ'!C381,IF('Value at Risk'!$C$6=0,('Market Data - EQ'!C380-'Market Data - EQ'!C381)/'Market Data - EQ'!C381,LN('Market Data - EQ'!C380/'Market Data - EQ'!C381)))</f>
        <v>1.714691849785574E-2</v>
      </c>
      <c r="I380" s="3">
        <f>IF('Value at Risk'!$C$5=0,'Market Data - EQ'!D380-'Market Data - EQ'!D381,IF('Value at Risk'!$C$6=0,('Market Data - EQ'!D380-'Market Data - EQ'!D381)/'Market Data - EQ'!D381,LN('Market Data - EQ'!D380/'Market Data - EQ'!D381)))</f>
        <v>1.1656249373477746E-2</v>
      </c>
      <c r="J380" s="3">
        <f>IF('Value at Risk'!$C$5=0,'Market Data - EQ'!E380-'Market Data - EQ'!E381,IF('Value at Risk'!$C$6=0,('Market Data - EQ'!E380-'Market Data - EQ'!E381)/'Market Data - EQ'!E381,LN('Market Data - EQ'!E380/'Market Data - EQ'!E381)))</f>
        <v>-4.7576667092978355E-3</v>
      </c>
      <c r="K380" s="3">
        <f>IF('Value at Risk'!$C$5=0,'Market Data - EQ'!F380-'Market Data - EQ'!F381,IF('Value at Risk'!$C$6=0,('Market Data - EQ'!F380-'Market Data - EQ'!F381)/'Market Data - EQ'!F381,LN('Market Data - EQ'!F380/'Market Data - EQ'!F381)))</f>
        <v>6.5158705084596624E-3</v>
      </c>
      <c r="L380" s="8">
        <f t="shared" si="5"/>
        <v>4.8988697421272044E-3</v>
      </c>
    </row>
    <row r="381" spans="1:12" x14ac:dyDescent="0.25">
      <c r="A381" s="5">
        <v>43263</v>
      </c>
      <c r="B381" s="4">
        <v>1021.919983</v>
      </c>
      <c r="C381" s="4">
        <v>282.85000600000001</v>
      </c>
      <c r="D381" s="4">
        <v>287.39999399999999</v>
      </c>
      <c r="E381" s="4">
        <v>1954.75</v>
      </c>
      <c r="F381" s="4">
        <v>537.15002400000003</v>
      </c>
      <c r="G381" s="3">
        <f>IF('Value at Risk'!$C$5=0,'Market Data - EQ'!B381-'Market Data - EQ'!B382,IF('Value at Risk'!$C$6=0,('Market Data - EQ'!B381-'Market Data - EQ'!B382)/'Market Data - EQ'!B382,LN('Market Data - EQ'!B381/'Market Data - EQ'!B382)))</f>
        <v>7.5401163580638732E-4</v>
      </c>
      <c r="H381" s="3">
        <f>IF('Value at Risk'!$C$5=0,'Market Data - EQ'!C381-'Market Data - EQ'!C382,IF('Value at Risk'!$C$6=0,('Market Data - EQ'!C381-'Market Data - EQ'!C382)/'Market Data - EQ'!C382,LN('Market Data - EQ'!C381/'Market Data - EQ'!C382)))</f>
        <v>3.2299291970802946E-2</v>
      </c>
      <c r="I381" s="3">
        <f>IF('Value at Risk'!$C$5=0,'Market Data - EQ'!D381-'Market Data - EQ'!D382,IF('Value at Risk'!$C$6=0,('Market Data - EQ'!D381-'Market Data - EQ'!D382)/'Market Data - EQ'!D382,LN('Market Data - EQ'!D381/'Market Data - EQ'!D382)))</f>
        <v>3.4916201848803111E-3</v>
      </c>
      <c r="J381" s="3">
        <f>IF('Value at Risk'!$C$5=0,'Market Data - EQ'!E381-'Market Data - EQ'!E382,IF('Value at Risk'!$C$6=0,('Market Data - EQ'!E381-'Market Data - EQ'!E382)/'Market Data - EQ'!E382,LN('Market Data - EQ'!E381/'Market Data - EQ'!E382)))</f>
        <v>2.6223199136425502E-2</v>
      </c>
      <c r="K381" s="3">
        <f>IF('Value at Risk'!$C$5=0,'Market Data - EQ'!F381-'Market Data - EQ'!F382,IF('Value at Risk'!$C$6=0,('Market Data - EQ'!F381-'Market Data - EQ'!F382)/'Market Data - EQ'!F382,LN('Market Data - EQ'!F381/'Market Data - EQ'!F382)))</f>
        <v>-5.1856429998560398E-3</v>
      </c>
      <c r="L381" s="8">
        <f t="shared" si="5"/>
        <v>1.1516495985611819E-2</v>
      </c>
    </row>
    <row r="382" spans="1:12" x14ac:dyDescent="0.25">
      <c r="A382" s="5">
        <v>43262</v>
      </c>
      <c r="B382" s="4">
        <v>1021.150024</v>
      </c>
      <c r="C382" s="4">
        <v>274</v>
      </c>
      <c r="D382" s="4">
        <v>286.39999399999999</v>
      </c>
      <c r="E382" s="4">
        <v>1904.8000489999999</v>
      </c>
      <c r="F382" s="4">
        <v>539.95001200000002</v>
      </c>
      <c r="G382" s="3">
        <f>IF('Value at Risk'!$C$5=0,'Market Data - EQ'!B382-'Market Data - EQ'!B383,IF('Value at Risk'!$C$6=0,('Market Data - EQ'!B382-'Market Data - EQ'!B383)/'Market Data - EQ'!B383,LN('Market Data - EQ'!B382/'Market Data - EQ'!B383)))</f>
        <v>-3.4450070402169625E-3</v>
      </c>
      <c r="H382" s="3">
        <f>IF('Value at Risk'!$C$5=0,'Market Data - EQ'!C382-'Market Data - EQ'!C383,IF('Value at Risk'!$C$6=0,('Market Data - EQ'!C382-'Market Data - EQ'!C383)/'Market Data - EQ'!C383,LN('Market Data - EQ'!C382/'Market Data - EQ'!C383)))</f>
        <v>3.663003663003663E-3</v>
      </c>
      <c r="I382" s="3">
        <f>IF('Value at Risk'!$C$5=0,'Market Data - EQ'!D382-'Market Data - EQ'!D383,IF('Value at Risk'!$C$6=0,('Market Data - EQ'!D382-'Market Data - EQ'!D383)/'Market Data - EQ'!D383,LN('Market Data - EQ'!D382/'Market Data - EQ'!D383)))</f>
        <v>-6.4180607111882313E-3</v>
      </c>
      <c r="J382" s="3">
        <f>IF('Value at Risk'!$C$5=0,'Market Data - EQ'!E382-'Market Data - EQ'!E383,IF('Value at Risk'!$C$6=0,('Market Data - EQ'!E382-'Market Data - EQ'!E383)/'Market Data - EQ'!E383,LN('Market Data - EQ'!E382/'Market Data - EQ'!E383)))</f>
        <v>8.5244339586472984E-3</v>
      </c>
      <c r="K382" s="3">
        <f>IF('Value at Risk'!$C$5=0,'Market Data - EQ'!F382-'Market Data - EQ'!F383,IF('Value at Risk'!$C$6=0,('Market Data - EQ'!F382-'Market Data - EQ'!F383)/'Market Data - EQ'!F383,LN('Market Data - EQ'!F382/'Market Data - EQ'!F383)))</f>
        <v>4.7450463083715541E-3</v>
      </c>
      <c r="L382" s="8">
        <f t="shared" si="5"/>
        <v>1.4138832357234643E-3</v>
      </c>
    </row>
    <row r="383" spans="1:12" x14ac:dyDescent="0.25">
      <c r="A383" s="5">
        <v>43259</v>
      </c>
      <c r="B383" s="4">
        <v>1024.6800539999999</v>
      </c>
      <c r="C383" s="4">
        <v>273</v>
      </c>
      <c r="D383" s="4">
        <v>288.25</v>
      </c>
      <c r="E383" s="4">
        <v>1888.6999510000001</v>
      </c>
      <c r="F383" s="4">
        <v>537.40002400000003</v>
      </c>
      <c r="G383" s="3">
        <f>IF('Value at Risk'!$C$5=0,'Market Data - EQ'!B383-'Market Data - EQ'!B384,IF('Value at Risk'!$C$6=0,('Market Data - EQ'!B383-'Market Data - EQ'!B384)/'Market Data - EQ'!B384,LN('Market Data - EQ'!B383/'Market Data - EQ'!B384)))</f>
        <v>-6.2262846954038165E-3</v>
      </c>
      <c r="H383" s="3">
        <f>IF('Value at Risk'!$C$5=0,'Market Data - EQ'!C383-'Market Data - EQ'!C384,IF('Value at Risk'!$C$6=0,('Market Data - EQ'!C383-'Market Data - EQ'!C384)/'Market Data - EQ'!C384,LN('Market Data - EQ'!C383/'Market Data - EQ'!C384)))</f>
        <v>1.2423534487451194E-2</v>
      </c>
      <c r="I383" s="3">
        <f>IF('Value at Risk'!$C$5=0,'Market Data - EQ'!D383-'Market Data - EQ'!D384,IF('Value at Risk'!$C$6=0,('Market Data - EQ'!D383-'Market Data - EQ'!D384)/'Market Data - EQ'!D384,LN('Market Data - EQ'!D383/'Market Data - EQ'!D384)))</f>
        <v>-9.1096392391125051E-3</v>
      </c>
      <c r="J383" s="3">
        <f>IF('Value at Risk'!$C$5=0,'Market Data - EQ'!E383-'Market Data - EQ'!E384,IF('Value at Risk'!$C$6=0,('Market Data - EQ'!E383-'Market Data - EQ'!E384)/'Market Data - EQ'!E384,LN('Market Data - EQ'!E383/'Market Data - EQ'!E384)))</f>
        <v>-6.1827463511034599E-3</v>
      </c>
      <c r="K383" s="3">
        <f>IF('Value at Risk'!$C$5=0,'Market Data - EQ'!F383-'Market Data - EQ'!F384,IF('Value at Risk'!$C$6=0,('Market Data - EQ'!F383-'Market Data - EQ'!F384)/'Market Data - EQ'!F384,LN('Market Data - EQ'!F383/'Market Data - EQ'!F384)))</f>
        <v>-9.2182886776568419E-3</v>
      </c>
      <c r="L383" s="8">
        <f t="shared" si="5"/>
        <v>-3.662684895165086E-3</v>
      </c>
    </row>
    <row r="384" spans="1:12" x14ac:dyDescent="0.25">
      <c r="A384" s="5">
        <v>43258</v>
      </c>
      <c r="B384" s="4">
        <v>1031.099976</v>
      </c>
      <c r="C384" s="4">
        <v>269.64999399999999</v>
      </c>
      <c r="D384" s="4">
        <v>290.89999399999999</v>
      </c>
      <c r="E384" s="4">
        <v>1900.4499510000001</v>
      </c>
      <c r="F384" s="4">
        <v>542.40002400000003</v>
      </c>
      <c r="G384" s="3">
        <f>IF('Value at Risk'!$C$5=0,'Market Data - EQ'!B384-'Market Data - EQ'!B385,IF('Value at Risk'!$C$6=0,('Market Data - EQ'!B384-'Market Data - EQ'!B385)/'Market Data - EQ'!B385,LN('Market Data - EQ'!B384/'Market Data - EQ'!B385)))</f>
        <v>2.3524535064038898E-3</v>
      </c>
      <c r="H384" s="3">
        <f>IF('Value at Risk'!$C$5=0,'Market Data - EQ'!C384-'Market Data - EQ'!C385,IF('Value at Risk'!$C$6=0,('Market Data - EQ'!C384-'Market Data - EQ'!C385)/'Market Data - EQ'!C385,LN('Market Data - EQ'!C384/'Market Data - EQ'!C385)))</f>
        <v>-1.8508236576159243E-3</v>
      </c>
      <c r="I384" s="3">
        <f>IF('Value at Risk'!$C$5=0,'Market Data - EQ'!D384-'Market Data - EQ'!D385,IF('Value at Risk'!$C$6=0,('Market Data - EQ'!D384-'Market Data - EQ'!D385)/'Market Data - EQ'!D385,LN('Market Data - EQ'!D384/'Market Data - EQ'!D385)))</f>
        <v>2.4656569735609084E-2</v>
      </c>
      <c r="J384" s="3">
        <f>IF('Value at Risk'!$C$5=0,'Market Data - EQ'!E384-'Market Data - EQ'!E385,IF('Value at Risk'!$C$6=0,('Market Data - EQ'!E384-'Market Data - EQ'!E385)/'Market Data - EQ'!E385,LN('Market Data - EQ'!E384/'Market Data - EQ'!E385)))</f>
        <v>-1.0079225703780514E-2</v>
      </c>
      <c r="K384" s="3">
        <f>IF('Value at Risk'!$C$5=0,'Market Data - EQ'!F384-'Market Data - EQ'!F385,IF('Value at Risk'!$C$6=0,('Market Data - EQ'!F384-'Market Data - EQ'!F385)/'Market Data - EQ'!F385,LN('Market Data - EQ'!F384/'Market Data - EQ'!F385)))</f>
        <v>2.0700036701541434E-2</v>
      </c>
      <c r="L384" s="8">
        <f t="shared" si="5"/>
        <v>7.1558021164315946E-3</v>
      </c>
    </row>
    <row r="385" spans="1:12" x14ac:dyDescent="0.25">
      <c r="A385" s="5">
        <v>43257</v>
      </c>
      <c r="B385" s="4">
        <v>1028.6800539999999</v>
      </c>
      <c r="C385" s="4">
        <v>270.14999399999999</v>
      </c>
      <c r="D385" s="4">
        <v>283.89999399999999</v>
      </c>
      <c r="E385" s="4">
        <v>1919.8000489999999</v>
      </c>
      <c r="F385" s="4">
        <v>531.40002400000003</v>
      </c>
      <c r="G385" s="3">
        <f>IF('Value at Risk'!$C$5=0,'Market Data - EQ'!B385-'Market Data - EQ'!B386,IF('Value at Risk'!$C$6=0,('Market Data - EQ'!B385-'Market Data - EQ'!B386)/'Market Data - EQ'!B386,LN('Market Data - EQ'!B385/'Market Data - EQ'!B386)))</f>
        <v>-3.0238368403101494E-3</v>
      </c>
      <c r="H385" s="3">
        <f>IF('Value at Risk'!$C$5=0,'Market Data - EQ'!C385-'Market Data - EQ'!C386,IF('Value at Risk'!$C$6=0,('Market Data - EQ'!C385-'Market Data - EQ'!C386)/'Market Data - EQ'!C386,LN('Market Data - EQ'!C385/'Market Data - EQ'!C386)))</f>
        <v>2.5042710303595263E-2</v>
      </c>
      <c r="I385" s="3">
        <f>IF('Value at Risk'!$C$5=0,'Market Data - EQ'!D385-'Market Data - EQ'!D386,IF('Value at Risk'!$C$6=0,('Market Data - EQ'!D385-'Market Data - EQ'!D386)/'Market Data - EQ'!D386,LN('Market Data - EQ'!D385/'Market Data - EQ'!D386)))</f>
        <v>-7.0401969650086941E-4</v>
      </c>
      <c r="J385" s="3">
        <f>IF('Value at Risk'!$C$5=0,'Market Data - EQ'!E385-'Market Data - EQ'!E386,IF('Value at Risk'!$C$6=0,('Market Data - EQ'!E385-'Market Data - EQ'!E386)/'Market Data - EQ'!E386,LN('Market Data - EQ'!E385/'Market Data - EQ'!E386)))</f>
        <v>1.074024678437085E-2</v>
      </c>
      <c r="K385" s="3">
        <f>IF('Value at Risk'!$C$5=0,'Market Data - EQ'!F385-'Market Data - EQ'!F386,IF('Value at Risk'!$C$6=0,('Market Data - EQ'!F385-'Market Data - EQ'!F386)/'Market Data - EQ'!F386,LN('Market Data - EQ'!F385/'Market Data - EQ'!F386)))</f>
        <v>9.4179690600277688E-4</v>
      </c>
      <c r="L385" s="8">
        <f t="shared" si="5"/>
        <v>6.5993794914315732E-3</v>
      </c>
    </row>
    <row r="386" spans="1:12" x14ac:dyDescent="0.25">
      <c r="A386" s="5">
        <v>43256</v>
      </c>
      <c r="B386" s="4">
        <v>1031.8000489999999</v>
      </c>
      <c r="C386" s="4">
        <v>263.54998799999998</v>
      </c>
      <c r="D386" s="4">
        <v>284.10000600000001</v>
      </c>
      <c r="E386" s="4">
        <v>1899.400024</v>
      </c>
      <c r="F386" s="4">
        <v>530.90002400000003</v>
      </c>
      <c r="G386" s="3">
        <f>IF('Value at Risk'!$C$5=0,'Market Data - EQ'!B386-'Market Data - EQ'!B387,IF('Value at Risk'!$C$6=0,('Market Data - EQ'!B386-'Market Data - EQ'!B387)/'Market Data - EQ'!B387,LN('Market Data - EQ'!B386/'Market Data - EQ'!B387)))</f>
        <v>8.5036391399543679E-3</v>
      </c>
      <c r="H386" s="3">
        <f>IF('Value at Risk'!$C$5=0,'Market Data - EQ'!C386-'Market Data - EQ'!C387,IF('Value at Risk'!$C$6=0,('Market Data - EQ'!C386-'Market Data - EQ'!C387)/'Market Data - EQ'!C387,LN('Market Data - EQ'!C386/'Market Data - EQ'!C387)))</f>
        <v>2.0912091254752276E-3</v>
      </c>
      <c r="I386" s="3">
        <f>IF('Value at Risk'!$C$5=0,'Market Data - EQ'!D386-'Market Data - EQ'!D387,IF('Value at Risk'!$C$6=0,('Market Data - EQ'!D386-'Market Data - EQ'!D387)/'Market Data - EQ'!D387,LN('Market Data - EQ'!D386/'Market Data - EQ'!D387)))</f>
        <v>-9.241478639930226E-3</v>
      </c>
      <c r="J386" s="3">
        <f>IF('Value at Risk'!$C$5=0,'Market Data - EQ'!E386-'Market Data - EQ'!E387,IF('Value at Risk'!$C$6=0,('Market Data - EQ'!E386-'Market Data - EQ'!E387)/'Market Data - EQ'!E387,LN('Market Data - EQ'!E386/'Market Data - EQ'!E387)))</f>
        <v>-1.4719414741484371E-3</v>
      </c>
      <c r="K386" s="3">
        <f>IF('Value at Risk'!$C$5=0,'Market Data - EQ'!F386-'Market Data - EQ'!F387,IF('Value at Risk'!$C$6=0,('Market Data - EQ'!F386-'Market Data - EQ'!F387)/'Market Data - EQ'!F387,LN('Market Data - EQ'!F386/'Market Data - EQ'!F387)))</f>
        <v>-1.1451380946683784E-2</v>
      </c>
      <c r="L386" s="8">
        <f t="shared" si="5"/>
        <v>-2.3139905590665701E-3</v>
      </c>
    </row>
    <row r="387" spans="1:12" x14ac:dyDescent="0.25">
      <c r="A387" s="5">
        <v>43255</v>
      </c>
      <c r="B387" s="4">
        <v>1023.099976</v>
      </c>
      <c r="C387" s="4">
        <v>263</v>
      </c>
      <c r="D387" s="4">
        <v>286.75</v>
      </c>
      <c r="E387" s="4">
        <v>1902.1999510000001</v>
      </c>
      <c r="F387" s="4">
        <v>537.04998799999998</v>
      </c>
      <c r="G387" s="3">
        <f>IF('Value at Risk'!$C$5=0,'Market Data - EQ'!B387-'Market Data - EQ'!B388,IF('Value at Risk'!$C$6=0,('Market Data - EQ'!B387-'Market Data - EQ'!B388)/'Market Data - EQ'!B388,LN('Market Data - EQ'!B387/'Market Data - EQ'!B388)))</f>
        <v>-3.051271818902377E-2</v>
      </c>
      <c r="H387" s="3">
        <f>IF('Value at Risk'!$C$5=0,'Market Data - EQ'!C387-'Market Data - EQ'!C388,IF('Value at Risk'!$C$6=0,('Market Data - EQ'!C387-'Market Data - EQ'!C388)/'Market Data - EQ'!C388,LN('Market Data - EQ'!C387/'Market Data - EQ'!C388)))</f>
        <v>-1.3873310211924606E-2</v>
      </c>
      <c r="I387" s="3">
        <f>IF('Value at Risk'!$C$5=0,'Market Data - EQ'!D387-'Market Data - EQ'!D388,IF('Value at Risk'!$C$6=0,('Market Data - EQ'!D387-'Market Data - EQ'!D388)/'Market Data - EQ'!D388,LN('Market Data - EQ'!D387/'Market Data - EQ'!D388)))</f>
        <v>-8.8143384229935912E-3</v>
      </c>
      <c r="J387" s="3">
        <f>IF('Value at Risk'!$C$5=0,'Market Data - EQ'!E387-'Market Data - EQ'!E388,IF('Value at Risk'!$C$6=0,('Market Data - EQ'!E387-'Market Data - EQ'!E388)/'Market Data - EQ'!E388,LN('Market Data - EQ'!E387/'Market Data - EQ'!E388)))</f>
        <v>-6.8915489373513631E-3</v>
      </c>
      <c r="K387" s="3">
        <f>IF('Value at Risk'!$C$5=0,'Market Data - EQ'!F387-'Market Data - EQ'!F388,IF('Value at Risk'!$C$6=0,('Market Data - EQ'!F387-'Market Data - EQ'!F388)/'Market Data - EQ'!F388,LN('Market Data - EQ'!F387/'Market Data - EQ'!F388)))</f>
        <v>7.4529764672097442E-4</v>
      </c>
      <c r="L387" s="8">
        <f t="shared" si="5"/>
        <v>-1.1869323622914471E-2</v>
      </c>
    </row>
    <row r="388" spans="1:12" x14ac:dyDescent="0.25">
      <c r="A388" s="5">
        <v>43252</v>
      </c>
      <c r="B388" s="4">
        <v>1055.3000489999999</v>
      </c>
      <c r="C388" s="4">
        <v>266.70001200000002</v>
      </c>
      <c r="D388" s="4">
        <v>289.29998799999998</v>
      </c>
      <c r="E388" s="4">
        <v>1915.400024</v>
      </c>
      <c r="F388" s="4">
        <v>536.65002400000003</v>
      </c>
      <c r="G388" s="3">
        <f>IF('Value at Risk'!$C$5=0,'Market Data - EQ'!B388-'Market Data - EQ'!B389,IF('Value at Risk'!$C$6=0,('Market Data - EQ'!B388-'Market Data - EQ'!B389)/'Market Data - EQ'!B389,LN('Market Data - EQ'!B388/'Market Data - EQ'!B389)))</f>
        <v>-1.348009048248389E-2</v>
      </c>
      <c r="H388" s="3">
        <f>IF('Value at Risk'!$C$5=0,'Market Data - EQ'!C388-'Market Data - EQ'!C389,IF('Value at Risk'!$C$6=0,('Market Data - EQ'!C388-'Market Data - EQ'!C389)/'Market Data - EQ'!C389,LN('Market Data - EQ'!C388/'Market Data - EQ'!C389)))</f>
        <v>-1.0573088951500787E-2</v>
      </c>
      <c r="I388" s="3">
        <f>IF('Value at Risk'!$C$5=0,'Market Data - EQ'!D388-'Market Data - EQ'!D389,IF('Value at Risk'!$C$6=0,('Market Data - EQ'!D388-'Market Data - EQ'!D389)/'Market Data - EQ'!D389,LN('Market Data - EQ'!D388/'Market Data - EQ'!D389)))</f>
        <v>1.224632661636081E-2</v>
      </c>
      <c r="J388" s="3">
        <f>IF('Value at Risk'!$C$5=0,'Market Data - EQ'!E388-'Market Data - EQ'!E389,IF('Value at Risk'!$C$6=0,('Market Data - EQ'!E388-'Market Data - EQ'!E389)/'Market Data - EQ'!E389,LN('Market Data - EQ'!E388/'Market Data - EQ'!E389)))</f>
        <v>-2.048118233837631E-2</v>
      </c>
      <c r="K388" s="3">
        <f>IF('Value at Risk'!$C$5=0,'Market Data - EQ'!F388-'Market Data - EQ'!F389,IF('Value at Risk'!$C$6=0,('Market Data - EQ'!F388-'Market Data - EQ'!F389)/'Market Data - EQ'!F389,LN('Market Data - EQ'!F388/'Market Data - EQ'!F389)))</f>
        <v>-1.6944494583865415E-2</v>
      </c>
      <c r="L388" s="8">
        <f t="shared" ref="L388:L451" si="6">AVERAGE(G388:K388)</f>
        <v>-9.8465059479731186E-3</v>
      </c>
    </row>
    <row r="389" spans="1:12" x14ac:dyDescent="0.25">
      <c r="A389" s="5">
        <v>43251</v>
      </c>
      <c r="B389" s="4">
        <v>1069.719971</v>
      </c>
      <c r="C389" s="4">
        <v>269.54998799999998</v>
      </c>
      <c r="D389" s="4">
        <v>285.79998799999998</v>
      </c>
      <c r="E389" s="4">
        <v>1955.4499510000001</v>
      </c>
      <c r="F389" s="4">
        <v>545.90002400000003</v>
      </c>
      <c r="G389" s="3">
        <f>IF('Value at Risk'!$C$5=0,'Market Data - EQ'!B389-'Market Data - EQ'!B390,IF('Value at Risk'!$C$6=0,('Market Data - EQ'!B389-'Market Data - EQ'!B390)/'Market Data - EQ'!B390,LN('Market Data - EQ'!B389/'Market Data - EQ'!B390)))</f>
        <v>4.4464756779963678E-2</v>
      </c>
      <c r="H389" s="3">
        <f>IF('Value at Risk'!$C$5=0,'Market Data - EQ'!C389-'Market Data - EQ'!C390,IF('Value at Risk'!$C$6=0,('Market Data - EQ'!C389-'Market Data - EQ'!C390)/'Market Data - EQ'!C390,LN('Market Data - EQ'!C389/'Market Data - EQ'!C390)))</f>
        <v>8.9836947553889619E-3</v>
      </c>
      <c r="I389" s="3">
        <f>IF('Value at Risk'!$C$5=0,'Market Data - EQ'!D389-'Market Data - EQ'!D390,IF('Value at Risk'!$C$6=0,('Market Data - EQ'!D389-'Market Data - EQ'!D390)/'Market Data - EQ'!D390,LN('Market Data - EQ'!D389/'Market Data - EQ'!D390)))</f>
        <v>3.1589821655103032E-3</v>
      </c>
      <c r="J389" s="3">
        <f>IF('Value at Risk'!$C$5=0,'Market Data - EQ'!E389-'Market Data - EQ'!E390,IF('Value at Risk'!$C$6=0,('Market Data - EQ'!E389-'Market Data - EQ'!E390)/'Market Data - EQ'!E390,LN('Market Data - EQ'!E389/'Market Data - EQ'!E390)))</f>
        <v>3.7456548743378656E-2</v>
      </c>
      <c r="K389" s="3">
        <f>IF('Value at Risk'!$C$5=0,'Market Data - EQ'!F389-'Market Data - EQ'!F390,IF('Value at Risk'!$C$6=0,('Market Data - EQ'!F389-'Market Data - EQ'!F390)/'Market Data - EQ'!F390,LN('Market Data - EQ'!F389/'Market Data - EQ'!F390)))</f>
        <v>7.846394926034379E-3</v>
      </c>
      <c r="L389" s="8">
        <f t="shared" si="6"/>
        <v>2.0382075474055197E-2</v>
      </c>
    </row>
    <row r="390" spans="1:12" x14ac:dyDescent="0.25">
      <c r="A390" s="5">
        <v>43250</v>
      </c>
      <c r="B390" s="4">
        <v>1024.1800539999999</v>
      </c>
      <c r="C390" s="4">
        <v>267.14999399999999</v>
      </c>
      <c r="D390" s="4">
        <v>284.89999399999999</v>
      </c>
      <c r="E390" s="4">
        <v>1884.849976</v>
      </c>
      <c r="F390" s="4">
        <v>541.65002400000003</v>
      </c>
      <c r="G390" s="3">
        <f>IF('Value at Risk'!$C$5=0,'Market Data - EQ'!B390-'Market Data - EQ'!B391,IF('Value at Risk'!$C$6=0,('Market Data - EQ'!B390-'Market Data - EQ'!B391)/'Market Data - EQ'!B391,LN('Market Data - EQ'!B390/'Market Data - EQ'!B391)))</f>
        <v>7.7536810912566326E-3</v>
      </c>
      <c r="H390" s="3">
        <f>IF('Value at Risk'!$C$5=0,'Market Data - EQ'!C390-'Market Data - EQ'!C391,IF('Value at Risk'!$C$6=0,('Market Data - EQ'!C390-'Market Data - EQ'!C391)/'Market Data - EQ'!C391,LN('Market Data - EQ'!C390/'Market Data - EQ'!C391)))</f>
        <v>1.0783224099124846E-2</v>
      </c>
      <c r="I390" s="3">
        <f>IF('Value at Risk'!$C$5=0,'Market Data - EQ'!D390-'Market Data - EQ'!D391,IF('Value at Risk'!$C$6=0,('Market Data - EQ'!D390-'Market Data - EQ'!D391)/'Market Data - EQ'!D391,LN('Market Data - EQ'!D390/'Market Data - EQ'!D391)))</f>
        <v>-1.7247327021331364E-2</v>
      </c>
      <c r="J390" s="3">
        <f>IF('Value at Risk'!$C$5=0,'Market Data - EQ'!E390-'Market Data - EQ'!E391,IF('Value at Risk'!$C$6=0,('Market Data - EQ'!E390-'Market Data - EQ'!E391)/'Market Data - EQ'!E391,LN('Market Data - EQ'!E390/'Market Data - EQ'!E391)))</f>
        <v>4.0216943498306091E-3</v>
      </c>
      <c r="K390" s="3">
        <f>IF('Value at Risk'!$C$5=0,'Market Data - EQ'!F390-'Market Data - EQ'!F391,IF('Value at Risk'!$C$6=0,('Market Data - EQ'!F390-'Market Data - EQ'!F391)/'Market Data - EQ'!F391,LN('Market Data - EQ'!F390/'Market Data - EQ'!F391)))</f>
        <v>-1.1136423550889949E-2</v>
      </c>
      <c r="L390" s="8">
        <f t="shared" si="6"/>
        <v>-1.1650302064018447E-3</v>
      </c>
    </row>
    <row r="391" spans="1:12" x14ac:dyDescent="0.25">
      <c r="A391" s="5">
        <v>43249</v>
      </c>
      <c r="B391" s="4">
        <v>1016.299988</v>
      </c>
      <c r="C391" s="4">
        <v>264.29998799999998</v>
      </c>
      <c r="D391" s="4">
        <v>289.89999399999999</v>
      </c>
      <c r="E391" s="4">
        <v>1877.3000489999999</v>
      </c>
      <c r="F391" s="4">
        <v>547.75</v>
      </c>
      <c r="G391" s="3">
        <f>IF('Value at Risk'!$C$5=0,'Market Data - EQ'!B391-'Market Data - EQ'!B392,IF('Value at Risk'!$C$6=0,('Market Data - EQ'!B391-'Market Data - EQ'!B392)/'Market Data - EQ'!B392,LN('Market Data - EQ'!B391/'Market Data - EQ'!B392)))</f>
        <v>-4.7008012073442504E-3</v>
      </c>
      <c r="H391" s="3">
        <f>IF('Value at Risk'!$C$5=0,'Market Data - EQ'!C391-'Market Data - EQ'!C392,IF('Value at Risk'!$C$6=0,('Market Data - EQ'!C391-'Market Data - EQ'!C392)/'Market Data - EQ'!C392,LN('Market Data - EQ'!C391/'Market Data - EQ'!C392)))</f>
        <v>-2.8487411659066129E-2</v>
      </c>
      <c r="I391" s="3">
        <f>IF('Value at Risk'!$C$5=0,'Market Data - EQ'!D391-'Market Data - EQ'!D392,IF('Value at Risk'!$C$6=0,('Market Data - EQ'!D391-'Market Data - EQ'!D392)/'Market Data - EQ'!D392,LN('Market Data - EQ'!D391/'Market Data - EQ'!D392)))</f>
        <v>-3.1244798663325003E-2</v>
      </c>
      <c r="J391" s="3">
        <f>IF('Value at Risk'!$C$5=0,'Market Data - EQ'!E391-'Market Data - EQ'!E392,IF('Value at Risk'!$C$6=0,('Market Data - EQ'!E391-'Market Data - EQ'!E392)/'Market Data - EQ'!E392,LN('Market Data - EQ'!E391/'Market Data - EQ'!E392)))</f>
        <v>-1.9405000366081709E-2</v>
      </c>
      <c r="K391" s="3">
        <f>IF('Value at Risk'!$C$5=0,'Market Data - EQ'!F391-'Market Data - EQ'!F392,IF('Value at Risk'!$C$6=0,('Market Data - EQ'!F391-'Market Data - EQ'!F392)/'Market Data - EQ'!F392,LN('Market Data - EQ'!F391/'Market Data - EQ'!F392)))</f>
        <v>2.9295540230535075E-3</v>
      </c>
      <c r="L391" s="8">
        <f t="shared" si="6"/>
        <v>-1.6181691574552716E-2</v>
      </c>
    </row>
    <row r="392" spans="1:12" x14ac:dyDescent="0.25">
      <c r="A392" s="5">
        <v>43248</v>
      </c>
      <c r="B392" s="4">
        <v>1021.099976</v>
      </c>
      <c r="C392" s="4">
        <v>272.04998799999998</v>
      </c>
      <c r="D392" s="4">
        <v>299.25</v>
      </c>
      <c r="E392" s="4">
        <v>1914.4499510000001</v>
      </c>
      <c r="F392" s="4">
        <v>546.15002400000003</v>
      </c>
      <c r="G392" s="3">
        <f>IF('Value at Risk'!$C$5=0,'Market Data - EQ'!B392-'Market Data - EQ'!B393,IF('Value at Risk'!$C$6=0,('Market Data - EQ'!B392-'Market Data - EQ'!B393)/'Market Data - EQ'!B393,LN('Market Data - EQ'!B392/'Market Data - EQ'!B393)))</f>
        <v>1.667745347763119E-2</v>
      </c>
      <c r="H392" s="3">
        <f>IF('Value at Risk'!$C$5=0,'Market Data - EQ'!C392-'Market Data - EQ'!C393,IF('Value at Risk'!$C$6=0,('Market Data - EQ'!C392-'Market Data - EQ'!C393)/'Market Data - EQ'!C393,LN('Market Data - EQ'!C392/'Market Data - EQ'!C393)))</f>
        <v>1.9104610491645042E-2</v>
      </c>
      <c r="I392" s="3">
        <f>IF('Value at Risk'!$C$5=0,'Market Data - EQ'!D392-'Market Data - EQ'!D393,IF('Value at Risk'!$C$6=0,('Market Data - EQ'!D392-'Market Data - EQ'!D393)/'Market Data - EQ'!D393,LN('Market Data - EQ'!D392/'Market Data - EQ'!D393)))</f>
        <v>1.2176580663147274E-2</v>
      </c>
      <c r="J392" s="3">
        <f>IF('Value at Risk'!$C$5=0,'Market Data - EQ'!E392-'Market Data - EQ'!E393,IF('Value at Risk'!$C$6=0,('Market Data - EQ'!E392-'Market Data - EQ'!E393)/'Market Data - EQ'!E393,LN('Market Data - EQ'!E392/'Market Data - EQ'!E393)))</f>
        <v>-2.6110342974702632E-4</v>
      </c>
      <c r="K392" s="3">
        <f>IF('Value at Risk'!$C$5=0,'Market Data - EQ'!F392-'Market Data - EQ'!F393,IF('Value at Risk'!$C$6=0,('Market Data - EQ'!F392-'Market Data - EQ'!F393)/'Market Data - EQ'!F393,LN('Market Data - EQ'!F392/'Market Data - EQ'!F393)))</f>
        <v>1.4206172701949918E-2</v>
      </c>
      <c r="L392" s="8">
        <f t="shared" si="6"/>
        <v>1.2380742780925279E-2</v>
      </c>
    </row>
    <row r="393" spans="1:12" x14ac:dyDescent="0.25">
      <c r="A393" s="5">
        <v>43245</v>
      </c>
      <c r="B393" s="4">
        <v>1004.349976</v>
      </c>
      <c r="C393" s="4">
        <v>266.95001200000002</v>
      </c>
      <c r="D393" s="4">
        <v>295.64999399999999</v>
      </c>
      <c r="E393" s="4">
        <v>1914.9499510000001</v>
      </c>
      <c r="F393" s="4">
        <v>538.5</v>
      </c>
      <c r="G393" s="3">
        <f>IF('Value at Risk'!$C$5=0,'Market Data - EQ'!B393-'Market Data - EQ'!B394,IF('Value at Risk'!$C$6=0,('Market Data - EQ'!B393-'Market Data - EQ'!B394)/'Market Data - EQ'!B394,LN('Market Data - EQ'!B393/'Market Data - EQ'!B394)))</f>
        <v>1.1429985901309133E-2</v>
      </c>
      <c r="H393" s="3">
        <f>IF('Value at Risk'!$C$5=0,'Market Data - EQ'!C393-'Market Data - EQ'!C394,IF('Value at Risk'!$C$6=0,('Market Data - EQ'!C393-'Market Data - EQ'!C394)/'Market Data - EQ'!C394,LN('Market Data - EQ'!C393/'Market Data - EQ'!C394)))</f>
        <v>-5.7727672253258281E-3</v>
      </c>
      <c r="I393" s="3">
        <f>IF('Value at Risk'!$C$5=0,'Market Data - EQ'!D393-'Market Data - EQ'!D394,IF('Value at Risk'!$C$6=0,('Market Data - EQ'!D393-'Market Data - EQ'!D394)/'Market Data - EQ'!D394,LN('Market Data - EQ'!D393/'Market Data - EQ'!D394)))</f>
        <v>-6.8861871594416415E-3</v>
      </c>
      <c r="J393" s="3">
        <f>IF('Value at Risk'!$C$5=0,'Market Data - EQ'!E393-'Market Data - EQ'!E394,IF('Value at Risk'!$C$6=0,('Market Data - EQ'!E393-'Market Data - EQ'!E394)/'Market Data - EQ'!E394,LN('Market Data - EQ'!E393/'Market Data - EQ'!E394)))</f>
        <v>2.3654247692873328E-2</v>
      </c>
      <c r="K393" s="3">
        <f>IF('Value at Risk'!$C$5=0,'Market Data - EQ'!F393-'Market Data - EQ'!F394,IF('Value at Risk'!$C$6=0,('Market Data - EQ'!F393-'Market Data - EQ'!F394)/'Market Data - EQ'!F394,LN('Market Data - EQ'!F393/'Market Data - EQ'!F394)))</f>
        <v>7.5778611826469279E-3</v>
      </c>
      <c r="L393" s="8">
        <f t="shared" si="6"/>
        <v>6.0006280784123834E-3</v>
      </c>
    </row>
    <row r="394" spans="1:12" x14ac:dyDescent="0.25">
      <c r="A394" s="5">
        <v>43244</v>
      </c>
      <c r="B394" s="4">
        <v>993</v>
      </c>
      <c r="C394" s="4">
        <v>268.5</v>
      </c>
      <c r="D394" s="4">
        <v>297.70001200000002</v>
      </c>
      <c r="E394" s="4">
        <v>1870.6999510000001</v>
      </c>
      <c r="F394" s="4">
        <v>534.45001200000002</v>
      </c>
      <c r="G394" s="3">
        <f>IF('Value at Risk'!$C$5=0,'Market Data - EQ'!B394-'Market Data - EQ'!B395,IF('Value at Risk'!$C$6=0,('Market Data - EQ'!B394-'Market Data - EQ'!B395)/'Market Data - EQ'!B395,LN('Market Data - EQ'!B394/'Market Data - EQ'!B395)))</f>
        <v>9.4027954256670904E-3</v>
      </c>
      <c r="H394" s="3">
        <f>IF('Value at Risk'!$C$5=0,'Market Data - EQ'!C394-'Market Data - EQ'!C395,IF('Value at Risk'!$C$6=0,('Market Data - EQ'!C394-'Market Data - EQ'!C395)/'Market Data - EQ'!C395,LN('Market Data - EQ'!C394/'Market Data - EQ'!C395)))</f>
        <v>2.0136731604708226E-2</v>
      </c>
      <c r="I394" s="3">
        <f>IF('Value at Risk'!$C$5=0,'Market Data - EQ'!D394-'Market Data - EQ'!D395,IF('Value at Risk'!$C$6=0,('Market Data - EQ'!D394-'Market Data - EQ'!D395)/'Market Data - EQ'!D395,LN('Market Data - EQ'!D394/'Market Data - EQ'!D395)))</f>
        <v>1.9346085369467747E-2</v>
      </c>
      <c r="J394" s="3">
        <f>IF('Value at Risk'!$C$5=0,'Market Data - EQ'!E394-'Market Data - EQ'!E395,IF('Value at Risk'!$C$6=0,('Market Data - EQ'!E394-'Market Data - EQ'!E395)/'Market Data - EQ'!E395,LN('Market Data - EQ'!E394/'Market Data - EQ'!E395)))</f>
        <v>9.1980291744651489E-3</v>
      </c>
      <c r="K394" s="3">
        <f>IF('Value at Risk'!$C$5=0,'Market Data - EQ'!F394-'Market Data - EQ'!F395,IF('Value at Risk'!$C$6=0,('Market Data - EQ'!F394-'Market Data - EQ'!F395)/'Market Data - EQ'!F395,LN('Market Data - EQ'!F394/'Market Data - EQ'!F395)))</f>
        <v>2.7294592984142267E-2</v>
      </c>
      <c r="L394" s="8">
        <f t="shared" si="6"/>
        <v>1.7075646911690095E-2</v>
      </c>
    </row>
    <row r="395" spans="1:12" x14ac:dyDescent="0.25">
      <c r="A395" s="5">
        <v>43243</v>
      </c>
      <c r="B395" s="4">
        <v>983.75</v>
      </c>
      <c r="C395" s="4">
        <v>263.20001200000002</v>
      </c>
      <c r="D395" s="4">
        <v>292.04998799999998</v>
      </c>
      <c r="E395" s="4">
        <v>1853.650024</v>
      </c>
      <c r="F395" s="4">
        <v>520.25</v>
      </c>
      <c r="G395" s="3">
        <f>IF('Value at Risk'!$C$5=0,'Market Data - EQ'!B395-'Market Data - EQ'!B396,IF('Value at Risk'!$C$6=0,('Market Data - EQ'!B395-'Market Data - EQ'!B396)/'Market Data - EQ'!B396,LN('Market Data - EQ'!B395/'Market Data - EQ'!B396)))</f>
        <v>-1.1256859002882263E-2</v>
      </c>
      <c r="H395" s="3">
        <f>IF('Value at Risk'!$C$5=0,'Market Data - EQ'!C395-'Market Data - EQ'!C396,IF('Value at Risk'!$C$6=0,('Market Data - EQ'!C395-'Market Data - EQ'!C396)/'Market Data - EQ'!C396,LN('Market Data - EQ'!C395/'Market Data - EQ'!C396)))</f>
        <v>3.6628665694257649E-2</v>
      </c>
      <c r="I395" s="3">
        <f>IF('Value at Risk'!$C$5=0,'Market Data - EQ'!D395-'Market Data - EQ'!D396,IF('Value at Risk'!$C$6=0,('Market Data - EQ'!D395-'Market Data - EQ'!D396)/'Market Data - EQ'!D396,LN('Market Data - EQ'!D395/'Market Data - EQ'!D396)))</f>
        <v>6.0282468905923621E-3</v>
      </c>
      <c r="J395" s="3">
        <f>IF('Value at Risk'!$C$5=0,'Market Data - EQ'!E395-'Market Data - EQ'!E396,IF('Value at Risk'!$C$6=0,('Market Data - EQ'!E395-'Market Data - EQ'!E396)/'Market Data - EQ'!E396,LN('Market Data - EQ'!E395/'Market Data - EQ'!E396)))</f>
        <v>-2.6418723335443404E-2</v>
      </c>
      <c r="K395" s="3">
        <f>IF('Value at Risk'!$C$5=0,'Market Data - EQ'!F395-'Market Data - EQ'!F396,IF('Value at Risk'!$C$6=0,('Market Data - EQ'!F395-'Market Data - EQ'!F396)/'Market Data - EQ'!F396,LN('Market Data - EQ'!F395/'Market Data - EQ'!F396)))</f>
        <v>-5.8283739154222662E-3</v>
      </c>
      <c r="L395" s="8">
        <f t="shared" si="6"/>
        <v>-1.694087337795842E-4</v>
      </c>
    </row>
    <row r="396" spans="1:12" x14ac:dyDescent="0.25">
      <c r="A396" s="5">
        <v>43242</v>
      </c>
      <c r="B396" s="4">
        <v>994.95001200000002</v>
      </c>
      <c r="C396" s="4">
        <v>253.89999399999999</v>
      </c>
      <c r="D396" s="4">
        <v>290.29998799999998</v>
      </c>
      <c r="E396" s="4">
        <v>1903.9499510000001</v>
      </c>
      <c r="F396" s="4">
        <v>523.29998799999998</v>
      </c>
      <c r="G396" s="3">
        <f>IF('Value at Risk'!$C$5=0,'Market Data - EQ'!B396-'Market Data - EQ'!B397,IF('Value at Risk'!$C$6=0,('Market Data - EQ'!B396-'Market Data - EQ'!B397)/'Market Data - EQ'!B397,LN('Market Data - EQ'!B396/'Market Data - EQ'!B397)))</f>
        <v>-1.5805042142123017E-3</v>
      </c>
      <c r="H396" s="3">
        <f>IF('Value at Risk'!$C$5=0,'Market Data - EQ'!C396-'Market Data - EQ'!C397,IF('Value at Risk'!$C$6=0,('Market Data - EQ'!C396-'Market Data - EQ'!C397)/'Market Data - EQ'!C397,LN('Market Data - EQ'!C396/'Market Data - EQ'!C397)))</f>
        <v>3.8658200515338914E-2</v>
      </c>
      <c r="I396" s="3">
        <f>IF('Value at Risk'!$C$5=0,'Market Data - EQ'!D396-'Market Data - EQ'!D397,IF('Value at Risk'!$C$6=0,('Market Data - EQ'!D396-'Market Data - EQ'!D397)/'Market Data - EQ'!D397,LN('Market Data - EQ'!D396/'Market Data - EQ'!D397)))</f>
        <v>3.4566195695797958E-3</v>
      </c>
      <c r="J396" s="3">
        <f>IF('Value at Risk'!$C$5=0,'Market Data - EQ'!E396-'Market Data - EQ'!E397,IF('Value at Risk'!$C$6=0,('Market Data - EQ'!E396-'Market Data - EQ'!E397)/'Market Data - EQ'!E397,LN('Market Data - EQ'!E396/'Market Data - EQ'!E397)))</f>
        <v>-1.0909374547161928E-2</v>
      </c>
      <c r="K396" s="3">
        <f>IF('Value at Risk'!$C$5=0,'Market Data - EQ'!F396-'Market Data - EQ'!F397,IF('Value at Risk'!$C$6=0,('Market Data - EQ'!F396-'Market Data - EQ'!F397)/'Market Data - EQ'!F397,LN('Market Data - EQ'!F396/'Market Data - EQ'!F397)))</f>
        <v>-6.7381382968877369E-3</v>
      </c>
      <c r="L396" s="8">
        <f t="shared" si="6"/>
        <v>4.5773606053313484E-3</v>
      </c>
    </row>
    <row r="397" spans="1:12" x14ac:dyDescent="0.25">
      <c r="A397" s="5">
        <v>43241</v>
      </c>
      <c r="B397" s="4">
        <v>996.52502400000003</v>
      </c>
      <c r="C397" s="4">
        <v>244.449997</v>
      </c>
      <c r="D397" s="4">
        <v>289.29998799999998</v>
      </c>
      <c r="E397" s="4">
        <v>1924.9499510000001</v>
      </c>
      <c r="F397" s="4">
        <v>526.84997599999997</v>
      </c>
      <c r="G397" s="3">
        <f>IF('Value at Risk'!$C$5=0,'Market Data - EQ'!B397-'Market Data - EQ'!B398,IF('Value at Risk'!$C$6=0,('Market Data - EQ'!B397-'Market Data - EQ'!B398)/'Market Data - EQ'!B398,LN('Market Data - EQ'!B397/'Market Data - EQ'!B398)))</f>
        <v>-9.4972495612145411E-3</v>
      </c>
      <c r="H397" s="3">
        <f>IF('Value at Risk'!$C$5=0,'Market Data - EQ'!C397-'Market Data - EQ'!C398,IF('Value at Risk'!$C$6=0,('Market Data - EQ'!C397-'Market Data - EQ'!C398)/'Market Data - EQ'!C398,LN('Market Data - EQ'!C397/'Market Data - EQ'!C398)))</f>
        <v>2.3445638933749863E-2</v>
      </c>
      <c r="I397" s="3">
        <f>IF('Value at Risk'!$C$5=0,'Market Data - EQ'!D397-'Market Data - EQ'!D398,IF('Value at Risk'!$C$6=0,('Market Data - EQ'!D397-'Market Data - EQ'!D398)/'Market Data - EQ'!D398,LN('Market Data - EQ'!D397/'Market Data - EQ'!D398)))</f>
        <v>1.1184837234851289E-2</v>
      </c>
      <c r="J397" s="3">
        <f>IF('Value at Risk'!$C$5=0,'Market Data - EQ'!E397-'Market Data - EQ'!E398,IF('Value at Risk'!$C$6=0,('Market Data - EQ'!E397-'Market Data - EQ'!E398)/'Market Data - EQ'!E398,LN('Market Data - EQ'!E397/'Market Data - EQ'!E398)))</f>
        <v>-2.6166056994818363E-3</v>
      </c>
      <c r="K397" s="3">
        <f>IF('Value at Risk'!$C$5=0,'Market Data - EQ'!F397-'Market Data - EQ'!F398,IF('Value at Risk'!$C$6=0,('Market Data - EQ'!F397-'Market Data - EQ'!F398)/'Market Data - EQ'!F398,LN('Market Data - EQ'!F397/'Market Data - EQ'!F398)))</f>
        <v>-1.1353063853493203E-2</v>
      </c>
      <c r="L397" s="8">
        <f t="shared" si="6"/>
        <v>2.2327114108823139E-3</v>
      </c>
    </row>
    <row r="398" spans="1:12" x14ac:dyDescent="0.25">
      <c r="A398" s="5">
        <v>43238</v>
      </c>
      <c r="B398" s="4">
        <v>1006.080017</v>
      </c>
      <c r="C398" s="4">
        <v>238.85000600000001</v>
      </c>
      <c r="D398" s="4">
        <v>286.10000600000001</v>
      </c>
      <c r="E398" s="4">
        <v>1930</v>
      </c>
      <c r="F398" s="4">
        <v>532.90002400000003</v>
      </c>
      <c r="G398" s="3">
        <f>IF('Value at Risk'!$C$5=0,'Market Data - EQ'!B398-'Market Data - EQ'!B399,IF('Value at Risk'!$C$6=0,('Market Data - EQ'!B398-'Market Data - EQ'!B399)/'Market Data - EQ'!B399,LN('Market Data - EQ'!B398/'Market Data - EQ'!B399)))</f>
        <v>-7.6932062586637017E-3</v>
      </c>
      <c r="H398" s="3">
        <f>IF('Value at Risk'!$C$5=0,'Market Data - EQ'!C398-'Market Data - EQ'!C399,IF('Value at Risk'!$C$6=0,('Market Data - EQ'!C398-'Market Data - EQ'!C399)/'Market Data - EQ'!C399,LN('Market Data - EQ'!C398/'Market Data - EQ'!C399)))</f>
        <v>-1.5863168716891203E-2</v>
      </c>
      <c r="I398" s="3">
        <f>IF('Value at Risk'!$C$5=0,'Market Data - EQ'!D398-'Market Data - EQ'!D399,IF('Value at Risk'!$C$6=0,('Market Data - EQ'!D398-'Market Data - EQ'!D399)/'Market Data - EQ'!D399,LN('Market Data - EQ'!D398/'Market Data - EQ'!D399)))</f>
        <v>-3.3445925675675649E-2</v>
      </c>
      <c r="J398" s="3">
        <f>IF('Value at Risk'!$C$5=0,'Market Data - EQ'!E398-'Market Data - EQ'!E399,IF('Value at Risk'!$C$6=0,('Market Data - EQ'!E398-'Market Data - EQ'!E399)/'Market Data - EQ'!E399,LN('Market Data - EQ'!E398/'Market Data - EQ'!E399)))</f>
        <v>8.1751112368180848E-3</v>
      </c>
      <c r="K398" s="3">
        <f>IF('Value at Risk'!$C$5=0,'Market Data - EQ'!F398-'Market Data - EQ'!F399,IF('Value at Risk'!$C$6=0,('Market Data - EQ'!F398-'Market Data - EQ'!F399)/'Market Data - EQ'!F399,LN('Market Data - EQ'!F398/'Market Data - EQ'!F399)))</f>
        <v>-1.2141973962918337E-2</v>
      </c>
      <c r="L398" s="8">
        <f t="shared" si="6"/>
        <v>-1.219383267546616E-2</v>
      </c>
    </row>
    <row r="399" spans="1:12" x14ac:dyDescent="0.25">
      <c r="A399" s="5">
        <v>43237</v>
      </c>
      <c r="B399" s="4">
        <v>1013.880005</v>
      </c>
      <c r="C399" s="4">
        <v>242.699997</v>
      </c>
      <c r="D399" s="4">
        <v>296</v>
      </c>
      <c r="E399" s="4">
        <v>1914.349976</v>
      </c>
      <c r="F399" s="4">
        <v>539.45001200000002</v>
      </c>
      <c r="G399" s="3">
        <f>IF('Value at Risk'!$C$5=0,'Market Data - EQ'!B399-'Market Data - EQ'!B400,IF('Value at Risk'!$C$6=0,('Market Data - EQ'!B399-'Market Data - EQ'!B400)/'Market Data - EQ'!B400,LN('Market Data - EQ'!B399/'Market Data - EQ'!B400)))</f>
        <v>2.1845285885090659E-3</v>
      </c>
      <c r="H399" s="3">
        <f>IF('Value at Risk'!$C$5=0,'Market Data - EQ'!C399-'Market Data - EQ'!C400,IF('Value at Risk'!$C$6=0,('Market Data - EQ'!C399-'Market Data - EQ'!C400)/'Market Data - EQ'!C400,LN('Market Data - EQ'!C399/'Market Data - EQ'!C400)))</f>
        <v>-1.6454503913093748E-3</v>
      </c>
      <c r="I399" s="3">
        <f>IF('Value at Risk'!$C$5=0,'Market Data - EQ'!D399-'Market Data - EQ'!D400,IF('Value at Risk'!$C$6=0,('Market Data - EQ'!D399-'Market Data - EQ'!D400)/'Market Data - EQ'!D400,LN('Market Data - EQ'!D399/'Market Data - EQ'!D400)))</f>
        <v>-4.2052144659377629E-3</v>
      </c>
      <c r="J399" s="3">
        <f>IF('Value at Risk'!$C$5=0,'Market Data - EQ'!E399-'Market Data - EQ'!E400,IF('Value at Risk'!$C$6=0,('Market Data - EQ'!E399-'Market Data - EQ'!E400)/'Market Data - EQ'!E400,LN('Market Data - EQ'!E399/'Market Data - EQ'!E400)))</f>
        <v>-5.8423349294848556E-3</v>
      </c>
      <c r="K399" s="3">
        <f>IF('Value at Risk'!$C$5=0,'Market Data - EQ'!F399-'Market Data - EQ'!F400,IF('Value at Risk'!$C$6=0,('Market Data - EQ'!F399-'Market Data - EQ'!F400)/'Market Data - EQ'!F400,LN('Market Data - EQ'!F399/'Market Data - EQ'!F400)))</f>
        <v>-1.9181796363636337E-2</v>
      </c>
      <c r="L399" s="8">
        <f t="shared" si="6"/>
        <v>-5.7380535123718532E-3</v>
      </c>
    </row>
    <row r="400" spans="1:12" x14ac:dyDescent="0.25">
      <c r="A400" s="5">
        <v>43236</v>
      </c>
      <c r="B400" s="4">
        <v>1011.669983</v>
      </c>
      <c r="C400" s="4">
        <v>243.10000600000001</v>
      </c>
      <c r="D400" s="4">
        <v>297.25</v>
      </c>
      <c r="E400" s="4">
        <v>1925.599976</v>
      </c>
      <c r="F400" s="4">
        <v>550</v>
      </c>
      <c r="G400" s="3">
        <f>IF('Value at Risk'!$C$5=0,'Market Data - EQ'!B400-'Market Data - EQ'!B401,IF('Value at Risk'!$C$6=0,('Market Data - EQ'!B400-'Market Data - EQ'!B401)/'Market Data - EQ'!B401,LN('Market Data - EQ'!B400/'Market Data - EQ'!B401)))</f>
        <v>-7.0959277943839051E-3</v>
      </c>
      <c r="H400" s="3">
        <f>IF('Value at Risk'!$C$5=0,'Market Data - EQ'!C400-'Market Data - EQ'!C401,IF('Value at Risk'!$C$6=0,('Market Data - EQ'!C400-'Market Data - EQ'!C401)/'Market Data - EQ'!C401,LN('Market Data - EQ'!C400/'Market Data - EQ'!C401)))</f>
        <v>-1.9758040322580616E-2</v>
      </c>
      <c r="I400" s="3">
        <f>IF('Value at Risk'!$C$5=0,'Market Data - EQ'!D400-'Market Data - EQ'!D401,IF('Value at Risk'!$C$6=0,('Market Data - EQ'!D400-'Market Data - EQ'!D401)/'Market Data - EQ'!D401,LN('Market Data - EQ'!D400/'Market Data - EQ'!D401)))</f>
        <v>-3.5685320356853206E-2</v>
      </c>
      <c r="J400" s="3">
        <f>IF('Value at Risk'!$C$5=0,'Market Data - EQ'!E400-'Market Data - EQ'!E401,IF('Value at Risk'!$C$6=0,('Market Data - EQ'!E400-'Market Data - EQ'!E401)/'Market Data - EQ'!E401,LN('Market Data - EQ'!E400/'Market Data - EQ'!E401)))</f>
        <v>4.5123895882036589E-3</v>
      </c>
      <c r="K400" s="3">
        <f>IF('Value at Risk'!$C$5=0,'Market Data - EQ'!F400-'Market Data - EQ'!F401,IF('Value at Risk'!$C$6=0,('Market Data - EQ'!F400-'Market Data - EQ'!F401)/'Market Data - EQ'!F401,LN('Market Data - EQ'!F400/'Market Data - EQ'!F401)))</f>
        <v>5.4573038648575618E-4</v>
      </c>
      <c r="L400" s="8">
        <f t="shared" si="6"/>
        <v>-1.1496233699825664E-2</v>
      </c>
    </row>
    <row r="401" spans="1:12" x14ac:dyDescent="0.25">
      <c r="A401" s="5">
        <v>43235</v>
      </c>
      <c r="B401" s="4">
        <v>1018.900024</v>
      </c>
      <c r="C401" s="4">
        <v>248</v>
      </c>
      <c r="D401" s="4">
        <v>308.25</v>
      </c>
      <c r="E401" s="4">
        <v>1916.9499510000001</v>
      </c>
      <c r="F401" s="4">
        <v>549.70001200000002</v>
      </c>
      <c r="G401" s="3">
        <f>IF('Value at Risk'!$C$5=0,'Market Data - EQ'!B401-'Market Data - EQ'!B402,IF('Value at Risk'!$C$6=0,('Market Data - EQ'!B401-'Market Data - EQ'!B402)/'Market Data - EQ'!B402,LN('Market Data - EQ'!B401/'Market Data - EQ'!B402)))</f>
        <v>7.9337003010560569E-3</v>
      </c>
      <c r="H401" s="3">
        <f>IF('Value at Risk'!$C$5=0,'Market Data - EQ'!C401-'Market Data - EQ'!C402,IF('Value at Risk'!$C$6=0,('Market Data - EQ'!C401-'Market Data - EQ'!C402)/'Market Data - EQ'!C402,LN('Market Data - EQ'!C401/'Market Data - EQ'!C402)))</f>
        <v>-2.2082042064305026E-2</v>
      </c>
      <c r="I401" s="3">
        <f>IF('Value at Risk'!$C$5=0,'Market Data - EQ'!D401-'Market Data - EQ'!D402,IF('Value at Risk'!$C$6=0,('Market Data - EQ'!D401-'Market Data - EQ'!D402)/'Market Data - EQ'!D402,LN('Market Data - EQ'!D401/'Market Data - EQ'!D402)))</f>
        <v>-5.9658367113995074E-3</v>
      </c>
      <c r="J401" s="3">
        <f>IF('Value at Risk'!$C$5=0,'Market Data - EQ'!E401-'Market Data - EQ'!E402,IF('Value at Risk'!$C$6=0,('Market Data - EQ'!E401-'Market Data - EQ'!E402)/'Market Data - EQ'!E402,LN('Market Data - EQ'!E401/'Market Data - EQ'!E402)))</f>
        <v>1.0182511749347548E-3</v>
      </c>
      <c r="K401" s="3">
        <f>IF('Value at Risk'!$C$5=0,'Market Data - EQ'!F401-'Market Data - EQ'!F402,IF('Value at Risk'!$C$6=0,('Market Data - EQ'!F401-'Market Data - EQ'!F402)/'Market Data - EQ'!F402,LN('Market Data - EQ'!F401/'Market Data - EQ'!F402)))</f>
        <v>-3.9862509591048955E-3</v>
      </c>
      <c r="L401" s="8">
        <f t="shared" si="6"/>
        <v>-4.6164356517637232E-3</v>
      </c>
    </row>
    <row r="402" spans="1:12" x14ac:dyDescent="0.25">
      <c r="A402" s="5">
        <v>43234</v>
      </c>
      <c r="B402" s="4">
        <v>1010.880005</v>
      </c>
      <c r="C402" s="4">
        <v>253.60000600000001</v>
      </c>
      <c r="D402" s="4">
        <v>310.10000600000001</v>
      </c>
      <c r="E402" s="4">
        <v>1915</v>
      </c>
      <c r="F402" s="4">
        <v>551.90002400000003</v>
      </c>
      <c r="G402" s="3">
        <f>IF('Value at Risk'!$C$5=0,'Market Data - EQ'!B402-'Market Data - EQ'!B403,IF('Value at Risk'!$C$6=0,('Market Data - EQ'!B402-'Market Data - EQ'!B403)/'Market Data - EQ'!B403,LN('Market Data - EQ'!B402/'Market Data - EQ'!B403)))</f>
        <v>4.970771836746074E-3</v>
      </c>
      <c r="H402" s="3">
        <f>IF('Value at Risk'!$C$5=0,'Market Data - EQ'!C402-'Market Data - EQ'!C403,IF('Value at Risk'!$C$6=0,('Market Data - EQ'!C402-'Market Data - EQ'!C403)/'Market Data - EQ'!C403,LN('Market Data - EQ'!C402/'Market Data - EQ'!C403)))</f>
        <v>1.2981825133249646E-2</v>
      </c>
      <c r="I402" s="3">
        <f>IF('Value at Risk'!$C$5=0,'Market Data - EQ'!D402-'Market Data - EQ'!D403,IF('Value at Risk'!$C$6=0,('Market Data - EQ'!D402-'Market Data - EQ'!D403)/'Market Data - EQ'!D403,LN('Market Data - EQ'!D402/'Market Data - EQ'!D403)))</f>
        <v>-2.7335776401256661E-3</v>
      </c>
      <c r="J402" s="3">
        <f>IF('Value at Risk'!$C$5=0,'Market Data - EQ'!E402-'Market Data - EQ'!E403,IF('Value at Risk'!$C$6=0,('Market Data - EQ'!E402-'Market Data - EQ'!E403)/'Market Data - EQ'!E403,LN('Market Data - EQ'!E402/'Market Data - EQ'!E403)))</f>
        <v>1.0954203510624257E-2</v>
      </c>
      <c r="K402" s="3">
        <f>IF('Value at Risk'!$C$5=0,'Market Data - EQ'!F402-'Market Data - EQ'!F403,IF('Value at Risk'!$C$6=0,('Market Data - EQ'!F402-'Market Data - EQ'!F403)/'Market Data - EQ'!F403,LN('Market Data - EQ'!F402/'Market Data - EQ'!F403)))</f>
        <v>-2.5302078987212168E-3</v>
      </c>
      <c r="L402" s="8">
        <f t="shared" si="6"/>
        <v>4.7286029883546188E-3</v>
      </c>
    </row>
    <row r="403" spans="1:12" x14ac:dyDescent="0.25">
      <c r="A403" s="5">
        <v>43231</v>
      </c>
      <c r="B403" s="4">
        <v>1005.880005</v>
      </c>
      <c r="C403" s="4">
        <v>250.35000600000001</v>
      </c>
      <c r="D403" s="4">
        <v>310.95001200000002</v>
      </c>
      <c r="E403" s="4">
        <v>1894.25</v>
      </c>
      <c r="F403" s="4">
        <v>553.29998799999998</v>
      </c>
      <c r="G403" s="3">
        <f>IF('Value at Risk'!$C$5=0,'Market Data - EQ'!B403-'Market Data - EQ'!B404,IF('Value at Risk'!$C$6=0,('Market Data - EQ'!B403-'Market Data - EQ'!B404)/'Market Data - EQ'!B404,LN('Market Data - EQ'!B403/'Market Data - EQ'!B404)))</f>
        <v>9.5649412651764975E-3</v>
      </c>
      <c r="H403" s="3">
        <f>IF('Value at Risk'!$C$5=0,'Market Data - EQ'!C403-'Market Data - EQ'!C404,IF('Value at Risk'!$C$6=0,('Market Data - EQ'!C403-'Market Data - EQ'!C404)/'Market Data - EQ'!C404,LN('Market Data - EQ'!C403/'Market Data - EQ'!C404)))</f>
        <v>9.6794072556492562E-3</v>
      </c>
      <c r="I403" s="3">
        <f>IF('Value at Risk'!$C$5=0,'Market Data - EQ'!D403-'Market Data - EQ'!D404,IF('Value at Risk'!$C$6=0,('Market Data - EQ'!D403-'Market Data - EQ'!D404)/'Market Data - EQ'!D404,LN('Market Data - EQ'!D403/'Market Data - EQ'!D404)))</f>
        <v>1.3361596610169229E-2</v>
      </c>
      <c r="J403" s="3">
        <f>IF('Value at Risk'!$C$5=0,'Market Data - EQ'!E403-'Market Data - EQ'!E404,IF('Value at Risk'!$C$6=0,('Market Data - EQ'!E403-'Market Data - EQ'!E404)/'Market Data - EQ'!E404,LN('Market Data - EQ'!E403/'Market Data - EQ'!E404)))</f>
        <v>4.7206216953324057E-3</v>
      </c>
      <c r="K403" s="3">
        <f>IF('Value at Risk'!$C$5=0,'Market Data - EQ'!F403-'Market Data - EQ'!F404,IF('Value at Risk'!$C$6=0,('Market Data - EQ'!F403-'Market Data - EQ'!F404)/'Market Data - EQ'!F404,LN('Market Data - EQ'!F403/'Market Data - EQ'!F404)))</f>
        <v>1.0316741992875279E-2</v>
      </c>
      <c r="L403" s="8">
        <f t="shared" si="6"/>
        <v>9.5286617638405333E-3</v>
      </c>
    </row>
    <row r="404" spans="1:12" x14ac:dyDescent="0.25">
      <c r="A404" s="5">
        <v>43230</v>
      </c>
      <c r="B404" s="4">
        <v>996.34997599999997</v>
      </c>
      <c r="C404" s="4">
        <v>247.949997</v>
      </c>
      <c r="D404" s="4">
        <v>306.85000600000001</v>
      </c>
      <c r="E404" s="4">
        <v>1885.349976</v>
      </c>
      <c r="F404" s="4">
        <v>547.65002400000003</v>
      </c>
      <c r="G404" s="3">
        <f>IF('Value at Risk'!$C$5=0,'Market Data - EQ'!B404-'Market Data - EQ'!B405,IF('Value at Risk'!$C$6=0,('Market Data - EQ'!B404-'Market Data - EQ'!B405)/'Market Data - EQ'!B405,LN('Market Data - EQ'!B404/'Market Data - EQ'!B405)))</f>
        <v>7.2280266005495704E-3</v>
      </c>
      <c r="H404" s="3">
        <f>IF('Value at Risk'!$C$5=0,'Market Data - EQ'!C404-'Market Data - EQ'!C405,IF('Value at Risk'!$C$6=0,('Market Data - EQ'!C404-'Market Data - EQ'!C405)/'Market Data - EQ'!C405,LN('Market Data - EQ'!C404/'Market Data - EQ'!C405)))</f>
        <v>-2.016250000000153E-4</v>
      </c>
      <c r="I404" s="3">
        <f>IF('Value at Risk'!$C$5=0,'Market Data - EQ'!D404-'Market Data - EQ'!D405,IF('Value at Risk'!$C$6=0,('Market Data - EQ'!D404-'Market Data - EQ'!D405)/'Market Data - EQ'!D405,LN('Market Data - EQ'!D404/'Market Data - EQ'!D405)))</f>
        <v>1.6303129711994242E-4</v>
      </c>
      <c r="J404" s="3">
        <f>IF('Value at Risk'!$C$5=0,'Market Data - EQ'!E404-'Market Data - EQ'!E405,IF('Value at Risk'!$C$6=0,('Market Data - EQ'!E404-'Market Data - EQ'!E405)/'Market Data - EQ'!E405,LN('Market Data - EQ'!E404/'Market Data - EQ'!E405)))</f>
        <v>3.3260603905196366E-3</v>
      </c>
      <c r="K404" s="3">
        <f>IF('Value at Risk'!$C$5=0,'Market Data - EQ'!F404-'Market Data - EQ'!F405,IF('Value at Risk'!$C$6=0,('Market Data - EQ'!F404-'Market Data - EQ'!F405)/'Market Data - EQ'!F405,LN('Market Data - EQ'!F404/'Market Data - EQ'!F405)))</f>
        <v>-1.5496371923426975E-3</v>
      </c>
      <c r="L404" s="8">
        <f t="shared" si="6"/>
        <v>1.7931712191692876E-3</v>
      </c>
    </row>
    <row r="405" spans="1:12" x14ac:dyDescent="0.25">
      <c r="A405" s="5">
        <v>43229</v>
      </c>
      <c r="B405" s="4">
        <v>989.20001200000002</v>
      </c>
      <c r="C405" s="4">
        <v>248</v>
      </c>
      <c r="D405" s="4">
        <v>306.79998799999998</v>
      </c>
      <c r="E405" s="4">
        <v>1879.099976</v>
      </c>
      <c r="F405" s="4">
        <v>548.5</v>
      </c>
      <c r="G405" s="3">
        <f>IF('Value at Risk'!$C$5=0,'Market Data - EQ'!B405-'Market Data - EQ'!B406,IF('Value at Risk'!$C$6=0,('Market Data - EQ'!B405-'Market Data - EQ'!B406)/'Market Data - EQ'!B406,LN('Market Data - EQ'!B405/'Market Data - EQ'!B406)))</f>
        <v>5.770049425809002E-3</v>
      </c>
      <c r="H405" s="3">
        <f>IF('Value at Risk'!$C$5=0,'Market Data - EQ'!C405-'Market Data - EQ'!C406,IF('Value at Risk'!$C$6=0,('Market Data - EQ'!C405-'Market Data - EQ'!C406)/'Market Data - EQ'!C406,LN('Market Data - EQ'!C405/'Market Data - EQ'!C406)))</f>
        <v>-8.1983722271741135E-3</v>
      </c>
      <c r="I405" s="3">
        <f>IF('Value at Risk'!$C$5=0,'Market Data - EQ'!D405-'Market Data - EQ'!D406,IF('Value at Risk'!$C$6=0,('Market Data - EQ'!D405-'Market Data - EQ'!D406)/'Market Data - EQ'!D406,LN('Market Data - EQ'!D405/'Market Data - EQ'!D406)))</f>
        <v>-8.0827678531950036E-3</v>
      </c>
      <c r="J405" s="3">
        <f>IF('Value at Risk'!$C$5=0,'Market Data - EQ'!E405-'Market Data - EQ'!E406,IF('Value at Risk'!$C$6=0,('Market Data - EQ'!E405-'Market Data - EQ'!E406)/'Market Data - EQ'!E406,LN('Market Data - EQ'!E405/'Market Data - EQ'!E406)))</f>
        <v>5.0813008782366392E-3</v>
      </c>
      <c r="K405" s="3">
        <f>IF('Value at Risk'!$C$5=0,'Market Data - EQ'!F405-'Market Data - EQ'!F406,IF('Value at Risk'!$C$6=0,('Market Data - EQ'!F405-'Market Data - EQ'!F406)/'Market Data - EQ'!F406,LN('Market Data - EQ'!F405/'Market Data - EQ'!F406)))</f>
        <v>1.1526048870447211E-2</v>
      </c>
      <c r="L405" s="8">
        <f t="shared" si="6"/>
        <v>1.2192518188247471E-3</v>
      </c>
    </row>
    <row r="406" spans="1:12" x14ac:dyDescent="0.25">
      <c r="A406" s="5">
        <v>43228</v>
      </c>
      <c r="B406" s="4">
        <v>983.52502400000003</v>
      </c>
      <c r="C406" s="4">
        <v>250.050003</v>
      </c>
      <c r="D406" s="4">
        <v>309.29998799999998</v>
      </c>
      <c r="E406" s="4">
        <v>1869.599976</v>
      </c>
      <c r="F406" s="4">
        <v>542.25</v>
      </c>
      <c r="G406" s="3">
        <f>IF('Value at Risk'!$C$5=0,'Market Data - EQ'!B406-'Market Data - EQ'!B407,IF('Value at Risk'!$C$6=0,('Market Data - EQ'!B406-'Market Data - EQ'!B407)/'Market Data - EQ'!B407,LN('Market Data - EQ'!B406/'Market Data - EQ'!B407)))</f>
        <v>-5.2341336474060699E-3</v>
      </c>
      <c r="H406" s="3">
        <f>IF('Value at Risk'!$C$5=0,'Market Data - EQ'!C406-'Market Data - EQ'!C407,IF('Value at Risk'!$C$6=0,('Market Data - EQ'!C406-'Market Data - EQ'!C407)/'Market Data - EQ'!C407,LN('Market Data - EQ'!C406/'Market Data - EQ'!C407)))</f>
        <v>1.4401634888438149E-2</v>
      </c>
      <c r="I406" s="3">
        <f>IF('Value at Risk'!$C$5=0,'Market Data - EQ'!D406-'Market Data - EQ'!D407,IF('Value at Risk'!$C$6=0,('Market Data - EQ'!D406-'Market Data - EQ'!D407)/'Market Data - EQ'!D407,LN('Market Data - EQ'!D406/'Market Data - EQ'!D407)))</f>
        <v>6.7287787465332816E-2</v>
      </c>
      <c r="J406" s="3">
        <f>IF('Value at Risk'!$C$5=0,'Market Data - EQ'!E406-'Market Data - EQ'!E407,IF('Value at Risk'!$C$6=0,('Market Data - EQ'!E406-'Market Data - EQ'!E407)/'Market Data - EQ'!E407,LN('Market Data - EQ'!E406/'Market Data - EQ'!E407)))</f>
        <v>-1.0689000146173652E-2</v>
      </c>
      <c r="K406" s="3">
        <f>IF('Value at Risk'!$C$5=0,'Market Data - EQ'!F406-'Market Data - EQ'!F407,IF('Value at Risk'!$C$6=0,('Market Data - EQ'!F406-'Market Data - EQ'!F407)/'Market Data - EQ'!F407,LN('Market Data - EQ'!F406/'Market Data - EQ'!F407)))</f>
        <v>1.1471785628283689E-2</v>
      </c>
      <c r="L406" s="8">
        <f t="shared" si="6"/>
        <v>1.5447614837694986E-2</v>
      </c>
    </row>
    <row r="407" spans="1:12" x14ac:dyDescent="0.25">
      <c r="A407" s="5">
        <v>43227</v>
      </c>
      <c r="B407" s="4">
        <v>988.70001200000002</v>
      </c>
      <c r="C407" s="4">
        <v>246.5</v>
      </c>
      <c r="D407" s="4">
        <v>289.79998799999998</v>
      </c>
      <c r="E407" s="4">
        <v>1889.8000489999999</v>
      </c>
      <c r="F407" s="4">
        <v>536.09997599999997</v>
      </c>
      <c r="G407" s="3">
        <f>IF('Value at Risk'!$C$5=0,'Market Data - EQ'!B407-'Market Data - EQ'!B408,IF('Value at Risk'!$C$6=0,('Market Data - EQ'!B407-'Market Data - EQ'!B408)/'Market Data - EQ'!B408,LN('Market Data - EQ'!B407/'Market Data - EQ'!B408)))</f>
        <v>-5.5820849886849232E-3</v>
      </c>
      <c r="H407" s="3">
        <f>IF('Value at Risk'!$C$5=0,'Market Data - EQ'!C407-'Market Data - EQ'!C408,IF('Value at Risk'!$C$6=0,('Market Data - EQ'!C407-'Market Data - EQ'!C408)/'Market Data - EQ'!C408,LN('Market Data - EQ'!C407/'Market Data - EQ'!C408)))</f>
        <v>1.8805550966797507E-2</v>
      </c>
      <c r="I407" s="3">
        <f>IF('Value at Risk'!$C$5=0,'Market Data - EQ'!D407-'Market Data - EQ'!D408,IF('Value at Risk'!$C$6=0,('Market Data - EQ'!D407-'Market Data - EQ'!D408)/'Market Data - EQ'!D408,LN('Market Data - EQ'!D407/'Market Data - EQ'!D408)))</f>
        <v>2.4571263399584219E-2</v>
      </c>
      <c r="J407" s="3">
        <f>IF('Value at Risk'!$C$5=0,'Market Data - EQ'!E407-'Market Data - EQ'!E408,IF('Value at Risk'!$C$6=0,('Market Data - EQ'!E407-'Market Data - EQ'!E408)/'Market Data - EQ'!E408,LN('Market Data - EQ'!E407/'Market Data - EQ'!E408)))</f>
        <v>-7.1383813175473685E-4</v>
      </c>
      <c r="K407" s="3">
        <f>IF('Value at Risk'!$C$5=0,'Market Data - EQ'!F407-'Market Data - EQ'!F408,IF('Value at Risk'!$C$6=0,('Market Data - EQ'!F407-'Market Data - EQ'!F408)/'Market Data - EQ'!F408,LN('Market Data - EQ'!F407/'Market Data - EQ'!F408)))</f>
        <v>3.0367073542965344E-2</v>
      </c>
      <c r="L407" s="8">
        <f t="shared" si="6"/>
        <v>1.3489592957781482E-2</v>
      </c>
    </row>
    <row r="408" spans="1:12" x14ac:dyDescent="0.25">
      <c r="A408" s="5">
        <v>43224</v>
      </c>
      <c r="B408" s="4">
        <v>994.25</v>
      </c>
      <c r="C408" s="4">
        <v>241.949997</v>
      </c>
      <c r="D408" s="4">
        <v>282.85000600000001</v>
      </c>
      <c r="E408" s="4">
        <v>1891.150024</v>
      </c>
      <c r="F408" s="4">
        <v>520.29998799999998</v>
      </c>
      <c r="G408" s="3">
        <f>IF('Value at Risk'!$C$5=0,'Market Data - EQ'!B408-'Market Data - EQ'!B409,IF('Value at Risk'!$C$6=0,('Market Data - EQ'!B408-'Market Data - EQ'!B409)/'Market Data - EQ'!B409,LN('Market Data - EQ'!B408/'Market Data - EQ'!B409)))</f>
        <v>1.0467999262547887E-2</v>
      </c>
      <c r="H408" s="3">
        <f>IF('Value at Risk'!$C$5=0,'Market Data - EQ'!C408-'Market Data - EQ'!C409,IF('Value at Risk'!$C$6=0,('Market Data - EQ'!C408-'Market Data - EQ'!C409)/'Market Data - EQ'!C409,LN('Market Data - EQ'!C408/'Market Data - EQ'!C409)))</f>
        <v>2.067093891701535E-4</v>
      </c>
      <c r="I408" s="3">
        <f>IF('Value at Risk'!$C$5=0,'Market Data - EQ'!D408-'Market Data - EQ'!D409,IF('Value at Risk'!$C$6=0,('Market Data - EQ'!D408-'Market Data - EQ'!D409)/'Market Data - EQ'!D409,LN('Market Data - EQ'!D408/'Market Data - EQ'!D409)))</f>
        <v>3.3700319979432678E-3</v>
      </c>
      <c r="J408" s="3">
        <f>IF('Value at Risk'!$C$5=0,'Market Data - EQ'!E408-'Market Data - EQ'!E409,IF('Value at Risk'!$C$6=0,('Market Data - EQ'!E408-'Market Data - EQ'!E409)/'Market Data - EQ'!E409,LN('Market Data - EQ'!E408/'Market Data - EQ'!E409)))</f>
        <v>6.9217047807039293E-3</v>
      </c>
      <c r="K408" s="3">
        <f>IF('Value at Risk'!$C$5=0,'Market Data - EQ'!F408-'Market Data - EQ'!F409,IF('Value at Risk'!$C$6=0,('Market Data - EQ'!F408-'Market Data - EQ'!F409)/'Market Data - EQ'!F409,LN('Market Data - EQ'!F408/'Market Data - EQ'!F409)))</f>
        <v>-2.4559496457765524E-2</v>
      </c>
      <c r="L408" s="8">
        <f t="shared" si="6"/>
        <v>-7.186102054800574E-4</v>
      </c>
    </row>
    <row r="409" spans="1:12" x14ac:dyDescent="0.25">
      <c r="A409" s="5">
        <v>43223</v>
      </c>
      <c r="B409" s="4">
        <v>983.95001200000002</v>
      </c>
      <c r="C409" s="4">
        <v>241.89999399999999</v>
      </c>
      <c r="D409" s="4">
        <v>281.89999399999999</v>
      </c>
      <c r="E409" s="4">
        <v>1878.150024</v>
      </c>
      <c r="F409" s="4">
        <v>533.40002400000003</v>
      </c>
      <c r="G409" s="3">
        <f>IF('Value at Risk'!$C$5=0,'Market Data - EQ'!B409-'Market Data - EQ'!B410,IF('Value at Risk'!$C$6=0,('Market Data - EQ'!B409-'Market Data - EQ'!B410)/'Market Data - EQ'!B410,LN('Market Data - EQ'!B409/'Market Data - EQ'!B410)))</f>
        <v>-8.1237674536682898E-4</v>
      </c>
      <c r="H409" s="3">
        <f>IF('Value at Risk'!$C$5=0,'Market Data - EQ'!C409-'Market Data - EQ'!C410,IF('Value at Risk'!$C$6=0,('Market Data - EQ'!C409-'Market Data - EQ'!C410)/'Market Data - EQ'!C410,LN('Market Data - EQ'!C409/'Market Data - EQ'!C410)))</f>
        <v>3.7344149377593048E-3</v>
      </c>
      <c r="I409" s="3">
        <f>IF('Value at Risk'!$C$5=0,'Market Data - EQ'!D409-'Market Data - EQ'!D410,IF('Value at Risk'!$C$6=0,('Market Data - EQ'!D409-'Market Data - EQ'!D410)/'Market Data - EQ'!D410,LN('Market Data - EQ'!D409/'Market Data - EQ'!D410)))</f>
        <v>1.8057060701850359E-2</v>
      </c>
      <c r="J409" s="3">
        <f>IF('Value at Risk'!$C$5=0,'Market Data - EQ'!E409-'Market Data - EQ'!E410,IF('Value at Risk'!$C$6=0,('Market Data - EQ'!E409-'Market Data - EQ'!E410)/'Market Data - EQ'!E410,LN('Market Data - EQ'!E409/'Market Data - EQ'!E410)))</f>
        <v>5.2721590438710554E-3</v>
      </c>
      <c r="K409" s="3">
        <f>IF('Value at Risk'!$C$5=0,'Market Data - EQ'!F409-'Market Data - EQ'!F410,IF('Value at Risk'!$C$6=0,('Market Data - EQ'!F409-'Market Data - EQ'!F410)/'Market Data - EQ'!F410,LN('Market Data - EQ'!F409/'Market Data - EQ'!F410)))</f>
        <v>1.8424866825775713E-2</v>
      </c>
      <c r="L409" s="8">
        <f t="shared" si="6"/>
        <v>8.9352249527779211E-3</v>
      </c>
    </row>
    <row r="410" spans="1:12" x14ac:dyDescent="0.25">
      <c r="A410" s="5">
        <v>43222</v>
      </c>
      <c r="B410" s="4">
        <v>984.75</v>
      </c>
      <c r="C410" s="4">
        <v>241</v>
      </c>
      <c r="D410" s="4">
        <v>276.89999399999999</v>
      </c>
      <c r="E410" s="4">
        <v>1868.3000489999999</v>
      </c>
      <c r="F410" s="4">
        <v>523.75</v>
      </c>
      <c r="G410" s="3">
        <f>IF('Value at Risk'!$C$5=0,'Market Data - EQ'!B410-'Market Data - EQ'!B411,IF('Value at Risk'!$C$6=0,('Market Data - EQ'!B410-'Market Data - EQ'!B411)/'Market Data - EQ'!B411,LN('Market Data - EQ'!B410/'Market Data - EQ'!B411)))</f>
        <v>1.2960937806858469E-2</v>
      </c>
      <c r="H410" s="3">
        <f>IF('Value at Risk'!$C$5=0,'Market Data - EQ'!C410-'Market Data - EQ'!C411,IF('Value at Risk'!$C$6=0,('Market Data - EQ'!C410-'Market Data - EQ'!C411)/'Market Data - EQ'!C411,LN('Market Data - EQ'!C410/'Market Data - EQ'!C411)))</f>
        <v>-2.1915560598593165E-2</v>
      </c>
      <c r="I410" s="3">
        <f>IF('Value at Risk'!$C$5=0,'Market Data - EQ'!D410-'Market Data - EQ'!D411,IF('Value at Risk'!$C$6=0,('Market Data - EQ'!D410-'Market Data - EQ'!D411)/'Market Data - EQ'!D411,LN('Market Data - EQ'!D410/'Market Data - EQ'!D411)))</f>
        <v>-2.5686198774685563E-2</v>
      </c>
      <c r="J410" s="3">
        <f>IF('Value at Risk'!$C$5=0,'Market Data - EQ'!E410-'Market Data - EQ'!E411,IF('Value at Risk'!$C$6=0,('Market Data - EQ'!E410-'Market Data - EQ'!E411)/'Market Data - EQ'!E411,LN('Market Data - EQ'!E410/'Market Data - EQ'!E411)))</f>
        <v>-1.5648024762908355E-2</v>
      </c>
      <c r="K410" s="3">
        <f>IF('Value at Risk'!$C$5=0,'Market Data - EQ'!F410-'Market Data - EQ'!F411,IF('Value at Risk'!$C$6=0,('Market Data - EQ'!F410-'Market Data - EQ'!F411)/'Market Data - EQ'!F411,LN('Market Data - EQ'!F410/'Market Data - EQ'!F411)))</f>
        <v>1.246861038009538E-2</v>
      </c>
      <c r="L410" s="8">
        <f t="shared" si="6"/>
        <v>-7.5640471898466479E-3</v>
      </c>
    </row>
    <row r="411" spans="1:12" x14ac:dyDescent="0.25">
      <c r="A411" s="5">
        <v>43220</v>
      </c>
      <c r="B411" s="4">
        <v>972.15002400000003</v>
      </c>
      <c r="C411" s="4">
        <v>246.39999399999999</v>
      </c>
      <c r="D411" s="4">
        <v>284.20001200000002</v>
      </c>
      <c r="E411" s="4">
        <v>1898</v>
      </c>
      <c r="F411" s="4">
        <v>517.29998799999998</v>
      </c>
      <c r="G411" s="3">
        <f>IF('Value at Risk'!$C$5=0,'Market Data - EQ'!B411-'Market Data - EQ'!B412,IF('Value at Risk'!$C$6=0,('Market Data - EQ'!B411-'Market Data - EQ'!B412)/'Market Data - EQ'!B412,LN('Market Data - EQ'!B411/'Market Data - EQ'!B412)))</f>
        <v>1.0866186825003404E-2</v>
      </c>
      <c r="H411" s="3">
        <f>IF('Value at Risk'!$C$5=0,'Market Data - EQ'!C411-'Market Data - EQ'!C412,IF('Value at Risk'!$C$6=0,('Market Data - EQ'!C411-'Market Data - EQ'!C412)/'Market Data - EQ'!C412,LN('Market Data - EQ'!C411/'Market Data - EQ'!C412)))</f>
        <v>1.5663594006671149E-2</v>
      </c>
      <c r="I411" s="3">
        <f>IF('Value at Risk'!$C$5=0,'Market Data - EQ'!D411-'Market Data - EQ'!D412,IF('Value at Risk'!$C$6=0,('Market Data - EQ'!D411-'Market Data - EQ'!D412)/'Market Data - EQ'!D412,LN('Market Data - EQ'!D411/'Market Data - EQ'!D412)))</f>
        <v>-1.2851622358838874E-2</v>
      </c>
      <c r="J411" s="3">
        <f>IF('Value at Risk'!$C$5=0,'Market Data - EQ'!E411-'Market Data - EQ'!E412,IF('Value at Risk'!$C$6=0,('Market Data - EQ'!E411-'Market Data - EQ'!E412)/'Market Data - EQ'!E412,LN('Market Data - EQ'!E411/'Market Data - EQ'!E412)))</f>
        <v>7.0568522023588378E-3</v>
      </c>
      <c r="K411" s="3">
        <f>IF('Value at Risk'!$C$5=0,'Market Data - EQ'!F411-'Market Data - EQ'!F412,IF('Value at Risk'!$C$6=0,('Market Data - EQ'!F411-'Market Data - EQ'!F412)/'Market Data - EQ'!F412,LN('Market Data - EQ'!F411/'Market Data - EQ'!F412)))</f>
        <v>-4.0615770609441361E-2</v>
      </c>
      <c r="L411" s="8">
        <f t="shared" si="6"/>
        <v>-3.9761519868493685E-3</v>
      </c>
    </row>
    <row r="412" spans="1:12" x14ac:dyDescent="0.25">
      <c r="A412" s="5">
        <v>43217</v>
      </c>
      <c r="B412" s="4">
        <v>961.70001200000002</v>
      </c>
      <c r="C412" s="4">
        <v>242.60000600000001</v>
      </c>
      <c r="D412" s="4">
        <v>287.89999399999999</v>
      </c>
      <c r="E412" s="4">
        <v>1884.6999510000001</v>
      </c>
      <c r="F412" s="4">
        <v>539.20001200000002</v>
      </c>
      <c r="G412" s="3">
        <f>IF('Value at Risk'!$C$5=0,'Market Data - EQ'!B412-'Market Data - EQ'!B413,IF('Value at Risk'!$C$6=0,('Market Data - EQ'!B412-'Market Data - EQ'!B413)/'Market Data - EQ'!B413,LN('Market Data - EQ'!B412/'Market Data - EQ'!B413)))</f>
        <v>-3.5487506799637197E-3</v>
      </c>
      <c r="H412" s="3">
        <f>IF('Value at Risk'!$C$5=0,'Market Data - EQ'!C412-'Market Data - EQ'!C413,IF('Value at Risk'!$C$6=0,('Market Data - EQ'!C412-'Market Data - EQ'!C413)/'Market Data - EQ'!C413,LN('Market Data - EQ'!C412/'Market Data - EQ'!C413)))</f>
        <v>4.0308786967951857E-2</v>
      </c>
      <c r="I412" s="3">
        <f>IF('Value at Risk'!$C$5=0,'Market Data - EQ'!D412-'Market Data - EQ'!D413,IF('Value at Risk'!$C$6=0,('Market Data - EQ'!D412-'Market Data - EQ'!D413)/'Market Data - EQ'!D413,LN('Market Data - EQ'!D412/'Market Data - EQ'!D413)))</f>
        <v>3.2454681030202256E-2</v>
      </c>
      <c r="J412" s="3">
        <f>IF('Value at Risk'!$C$5=0,'Market Data - EQ'!E412-'Market Data - EQ'!E413,IF('Value at Risk'!$C$6=0,('Market Data - EQ'!E412-'Market Data - EQ'!E413)/'Market Data - EQ'!E413,LN('Market Data - EQ'!E412/'Market Data - EQ'!E413)))</f>
        <v>1.4878192062768288E-3</v>
      </c>
      <c r="K412" s="3">
        <f>IF('Value at Risk'!$C$5=0,'Market Data - EQ'!F412-'Market Data - EQ'!F413,IF('Value at Risk'!$C$6=0,('Market Data - EQ'!F412-'Market Data - EQ'!F413)/'Market Data - EQ'!F413,LN('Market Data - EQ'!F412/'Market Data - EQ'!F413)))</f>
        <v>9.2050657215189902E-2</v>
      </c>
      <c r="L412" s="8">
        <f t="shared" si="6"/>
        <v>3.2550638747931425E-2</v>
      </c>
    </row>
    <row r="413" spans="1:12" x14ac:dyDescent="0.25">
      <c r="A413" s="5">
        <v>43216</v>
      </c>
      <c r="B413" s="4">
        <v>965.125</v>
      </c>
      <c r="C413" s="4">
        <v>233.199997</v>
      </c>
      <c r="D413" s="4">
        <v>278.85000600000001</v>
      </c>
      <c r="E413" s="4">
        <v>1881.900024</v>
      </c>
      <c r="F413" s="4">
        <v>493.75</v>
      </c>
      <c r="G413" s="3">
        <f>IF('Value at Risk'!$C$5=0,'Market Data - EQ'!B413-'Market Data - EQ'!B414,IF('Value at Risk'!$C$6=0,('Market Data - EQ'!B413-'Market Data - EQ'!B414)/'Market Data - EQ'!B414,LN('Market Data - EQ'!B413/'Market Data - EQ'!B414)))</f>
        <v>4.9459846414161134E-3</v>
      </c>
      <c r="H413" s="3">
        <f>IF('Value at Risk'!$C$5=0,'Market Data - EQ'!C413-'Market Data - EQ'!C414,IF('Value at Risk'!$C$6=0,('Market Data - EQ'!C413-'Market Data - EQ'!C414)/'Market Data - EQ'!C414,LN('Market Data - EQ'!C413/'Market Data - EQ'!C414)))</f>
        <v>-1.6863406621375296E-2</v>
      </c>
      <c r="I413" s="3">
        <f>IF('Value at Risk'!$C$5=0,'Market Data - EQ'!D413-'Market Data - EQ'!D414,IF('Value at Risk'!$C$6=0,('Market Data - EQ'!D413-'Market Data - EQ'!D414)/'Market Data - EQ'!D414,LN('Market Data - EQ'!D413/'Market Data - EQ'!D414)))</f>
        <v>-1.7923270374822892E-4</v>
      </c>
      <c r="J413" s="3">
        <f>IF('Value at Risk'!$C$5=0,'Market Data - EQ'!E413-'Market Data - EQ'!E414,IF('Value at Risk'!$C$6=0,('Market Data - EQ'!E413-'Market Data - EQ'!E414)/'Market Data - EQ'!E414,LN('Market Data - EQ'!E413/'Market Data - EQ'!E414)))</f>
        <v>1.8481950480313911E-2</v>
      </c>
      <c r="K413" s="3">
        <f>IF('Value at Risk'!$C$5=0,'Market Data - EQ'!F413-'Market Data - EQ'!F414,IF('Value at Risk'!$C$6=0,('Market Data - EQ'!F413-'Market Data - EQ'!F414)/'Market Data - EQ'!F414,LN('Market Data - EQ'!F413/'Market Data - EQ'!F414)))</f>
        <v>-9.3298436115149559E-3</v>
      </c>
      <c r="L413" s="8">
        <f t="shared" si="6"/>
        <v>-5.8890956298169141E-4</v>
      </c>
    </row>
    <row r="414" spans="1:12" x14ac:dyDescent="0.25">
      <c r="A414" s="5">
        <v>43215</v>
      </c>
      <c r="B414" s="4">
        <v>960.375</v>
      </c>
      <c r="C414" s="4">
        <v>237.199997</v>
      </c>
      <c r="D414" s="4">
        <v>278.89999399999999</v>
      </c>
      <c r="E414" s="4">
        <v>1847.75</v>
      </c>
      <c r="F414" s="4">
        <v>498.39999399999999</v>
      </c>
      <c r="G414" s="3">
        <f>IF('Value at Risk'!$C$5=0,'Market Data - EQ'!B414-'Market Data - EQ'!B415,IF('Value at Risk'!$C$6=0,('Market Data - EQ'!B414-'Market Data - EQ'!B415)/'Market Data - EQ'!B415,LN('Market Data - EQ'!B414/'Market Data - EQ'!B415)))</f>
        <v>-7.3643410852713177E-3</v>
      </c>
      <c r="H414" s="3">
        <f>IF('Value at Risk'!$C$5=0,'Market Data - EQ'!C414-'Market Data - EQ'!C415,IF('Value at Risk'!$C$6=0,('Market Data - EQ'!C414-'Market Data - EQ'!C415)/'Market Data - EQ'!C415,LN('Market Data - EQ'!C414/'Market Data - EQ'!C415)))</f>
        <v>-1.4131375374944967E-2</v>
      </c>
      <c r="I414" s="3">
        <f>IF('Value at Risk'!$C$5=0,'Market Data - EQ'!D414-'Market Data - EQ'!D415,IF('Value at Risk'!$C$6=0,('Market Data - EQ'!D414-'Market Data - EQ'!D415)/'Market Data - EQ'!D415,LN('Market Data - EQ'!D414/'Market Data - EQ'!D415)))</f>
        <v>-1.830345614283449E-2</v>
      </c>
      <c r="J414" s="3">
        <f>IF('Value at Risk'!$C$5=0,'Market Data - EQ'!E414-'Market Data - EQ'!E415,IF('Value at Risk'!$C$6=0,('Market Data - EQ'!E414-'Market Data - EQ'!E415)/'Market Data - EQ'!E415,LN('Market Data - EQ'!E414/'Market Data - EQ'!E415)))</f>
        <v>-1.5793130723854742E-2</v>
      </c>
      <c r="K414" s="3">
        <f>IF('Value at Risk'!$C$5=0,'Market Data - EQ'!F414-'Market Data - EQ'!F415,IF('Value at Risk'!$C$6=0,('Market Data - EQ'!F414-'Market Data - EQ'!F415)/'Market Data - EQ'!F415,LN('Market Data - EQ'!F414/'Market Data - EQ'!F415)))</f>
        <v>-1.2776095718220146E-2</v>
      </c>
      <c r="L414" s="8">
        <f t="shared" si="6"/>
        <v>-1.3673679809025133E-2</v>
      </c>
    </row>
    <row r="415" spans="1:12" x14ac:dyDescent="0.25">
      <c r="A415" s="5">
        <v>43214</v>
      </c>
      <c r="B415" s="4">
        <v>967.5</v>
      </c>
      <c r="C415" s="4">
        <v>240.60000600000001</v>
      </c>
      <c r="D415" s="4">
        <v>284.10000600000001</v>
      </c>
      <c r="E415" s="4">
        <v>1877.400024</v>
      </c>
      <c r="F415" s="4">
        <v>504.85000600000001</v>
      </c>
      <c r="G415" s="3">
        <f>IF('Value at Risk'!$C$5=0,'Market Data - EQ'!B415-'Market Data - EQ'!B416,IF('Value at Risk'!$C$6=0,('Market Data - EQ'!B415-'Market Data - EQ'!B416)/'Market Data - EQ'!B416,LN('Market Data - EQ'!B415/'Market Data - EQ'!B416)))</f>
        <v>-3.8744672607516468E-4</v>
      </c>
      <c r="H415" s="3">
        <f>IF('Value at Risk'!$C$5=0,'Market Data - EQ'!C415-'Market Data - EQ'!C416,IF('Value at Risk'!$C$6=0,('Market Data - EQ'!C415-'Market Data - EQ'!C416)/'Market Data - EQ'!C416,LN('Market Data - EQ'!C415/'Market Data - EQ'!C416)))</f>
        <v>-7.630402239188267E-3</v>
      </c>
      <c r="I415" s="3">
        <f>IF('Value at Risk'!$C$5=0,'Market Data - EQ'!D415-'Market Data - EQ'!D416,IF('Value at Risk'!$C$6=0,('Market Data - EQ'!D415-'Market Data - EQ'!D416)/'Market Data - EQ'!D416,LN('Market Data - EQ'!D415/'Market Data - EQ'!D416)))</f>
        <v>1.6821804226667288E-2</v>
      </c>
      <c r="J415" s="3">
        <f>IF('Value at Risk'!$C$5=0,'Market Data - EQ'!E415-'Market Data - EQ'!E416,IF('Value at Risk'!$C$6=0,('Market Data - EQ'!E415-'Market Data - EQ'!E416)/'Market Data - EQ'!E416,LN('Market Data - EQ'!E415/'Market Data - EQ'!E416)))</f>
        <v>1.6005121433993322E-3</v>
      </c>
      <c r="K415" s="3">
        <f>IF('Value at Risk'!$C$5=0,'Market Data - EQ'!F415-'Market Data - EQ'!F416,IF('Value at Risk'!$C$6=0,('Market Data - EQ'!F415-'Market Data - EQ'!F416)/'Market Data - EQ'!F416,LN('Market Data - EQ'!F415/'Market Data - EQ'!F416)))</f>
        <v>-2.6669418569670194E-3</v>
      </c>
      <c r="L415" s="8">
        <f t="shared" si="6"/>
        <v>1.5475051095672342E-3</v>
      </c>
    </row>
    <row r="416" spans="1:12" x14ac:dyDescent="0.25">
      <c r="A416" s="5">
        <v>43213</v>
      </c>
      <c r="B416" s="4">
        <v>967.875</v>
      </c>
      <c r="C416" s="4">
        <v>242.449997</v>
      </c>
      <c r="D416" s="4">
        <v>279.39999399999999</v>
      </c>
      <c r="E416" s="4">
        <v>1874.400024</v>
      </c>
      <c r="F416" s="4">
        <v>506.20001200000002</v>
      </c>
      <c r="G416" s="3">
        <f>IF('Value at Risk'!$C$5=0,'Market Data - EQ'!B416-'Market Data - EQ'!B417,IF('Value at Risk'!$C$6=0,('Market Data - EQ'!B416-'Market Data - EQ'!B417)/'Market Data - EQ'!B417,LN('Market Data - EQ'!B416/'Market Data - EQ'!B417)))</f>
        <v>-1.0302174831406429E-2</v>
      </c>
      <c r="H416" s="3">
        <f>IF('Value at Risk'!$C$5=0,'Market Data - EQ'!C416-'Market Data - EQ'!C417,IF('Value at Risk'!$C$6=0,('Market Data - EQ'!C416-'Market Data - EQ'!C417)/'Market Data - EQ'!C417,LN('Market Data - EQ'!C416/'Market Data - EQ'!C417)))</f>
        <v>5.1824212916553227E-3</v>
      </c>
      <c r="I416" s="3">
        <f>IF('Value at Risk'!$C$5=0,'Market Data - EQ'!D416-'Market Data - EQ'!D417,IF('Value at Risk'!$C$6=0,('Market Data - EQ'!D416-'Market Data - EQ'!D417)/'Market Data - EQ'!D417,LN('Market Data - EQ'!D416/'Market Data - EQ'!D417)))</f>
        <v>-9.7465889012211E-3</v>
      </c>
      <c r="J416" s="3">
        <f>IF('Value at Risk'!$C$5=0,'Market Data - EQ'!E416-'Market Data - EQ'!E417,IF('Value at Risk'!$C$6=0,('Market Data - EQ'!E416-'Market Data - EQ'!E417)/'Market Data - EQ'!E417,LN('Market Data - EQ'!E416/'Market Data - EQ'!E417)))</f>
        <v>3.395209135606931E-2</v>
      </c>
      <c r="K416" s="3">
        <f>IF('Value at Risk'!$C$5=0,'Market Data - EQ'!F416-'Market Data - EQ'!F417,IF('Value at Risk'!$C$6=0,('Market Data - EQ'!F416-'Market Data - EQ'!F417)/'Market Data - EQ'!F417,LN('Market Data - EQ'!F416/'Market Data - EQ'!F417)))</f>
        <v>9.8872847169321392E-4</v>
      </c>
      <c r="L416" s="8">
        <f t="shared" si="6"/>
        <v>4.0148954773580629E-3</v>
      </c>
    </row>
    <row r="417" spans="1:12" x14ac:dyDescent="0.25">
      <c r="A417" s="5">
        <v>43210</v>
      </c>
      <c r="B417" s="4">
        <v>977.95001200000002</v>
      </c>
      <c r="C417" s="4">
        <v>241.199997</v>
      </c>
      <c r="D417" s="4">
        <v>282.14999399999999</v>
      </c>
      <c r="E417" s="4">
        <v>1812.849976</v>
      </c>
      <c r="F417" s="4">
        <v>505.70001200000002</v>
      </c>
      <c r="G417" s="3">
        <f>IF('Value at Risk'!$C$5=0,'Market Data - EQ'!B417-'Market Data - EQ'!B418,IF('Value at Risk'!$C$6=0,('Market Data - EQ'!B417-'Market Data - EQ'!B418)/'Market Data - EQ'!B418,LN('Market Data - EQ'!B417/'Market Data - EQ'!B418)))</f>
        <v>8.7158452810727344E-3</v>
      </c>
      <c r="H417" s="3">
        <f>IF('Value at Risk'!$C$5=0,'Market Data - EQ'!C417-'Market Data - EQ'!C418,IF('Value at Risk'!$C$6=0,('Market Data - EQ'!C417-'Market Data - EQ'!C418)/'Market Data - EQ'!C418,LN('Market Data - EQ'!C417/'Market Data - EQ'!C418)))</f>
        <v>-2.0109677516384566E-2</v>
      </c>
      <c r="I417" s="3">
        <f>IF('Value at Risk'!$C$5=0,'Market Data - EQ'!D417-'Market Data - EQ'!D418,IF('Value at Risk'!$C$6=0,('Market Data - EQ'!D417-'Market Data - EQ'!D418)/'Market Data - EQ'!D418,LN('Market Data - EQ'!D417/'Market Data - EQ'!D418)))</f>
        <v>-2.5725179025030874E-2</v>
      </c>
      <c r="J417" s="3">
        <f>IF('Value at Risk'!$C$5=0,'Market Data - EQ'!E417-'Market Data - EQ'!E418,IF('Value at Risk'!$C$6=0,('Market Data - EQ'!E417-'Market Data - EQ'!E418)/'Market Data - EQ'!E418,LN('Market Data - EQ'!E417/'Market Data - EQ'!E418)))</f>
        <v>-1.0965915893685023E-2</v>
      </c>
      <c r="K417" s="3">
        <f>IF('Value at Risk'!$C$5=0,'Market Data - EQ'!F417-'Market Data - EQ'!F418,IF('Value at Risk'!$C$6=0,('Market Data - EQ'!F417-'Market Data - EQ'!F418)/'Market Data - EQ'!F418,LN('Market Data - EQ'!F417/'Market Data - EQ'!F418)))</f>
        <v>-1.4037846876762896E-2</v>
      </c>
      <c r="L417" s="8">
        <f t="shared" si="6"/>
        <v>-1.2424554806158125E-2</v>
      </c>
    </row>
    <row r="418" spans="1:12" x14ac:dyDescent="0.25">
      <c r="A418" s="5">
        <v>43209</v>
      </c>
      <c r="B418" s="4">
        <v>969.5</v>
      </c>
      <c r="C418" s="4">
        <v>246.14999399999999</v>
      </c>
      <c r="D418" s="4">
        <v>289.60000600000001</v>
      </c>
      <c r="E418" s="4">
        <v>1832.9499510000001</v>
      </c>
      <c r="F418" s="4">
        <v>512.90002400000003</v>
      </c>
      <c r="G418" s="3">
        <f>IF('Value at Risk'!$C$5=0,'Market Data - EQ'!B418-'Market Data - EQ'!B419,IF('Value at Risk'!$C$6=0,('Market Data - EQ'!B418-'Market Data - EQ'!B419)/'Market Data - EQ'!B419,LN('Market Data - EQ'!B418/'Market Data - EQ'!B419)))</f>
        <v>3.311613411714143E-3</v>
      </c>
      <c r="H418" s="3">
        <f>IF('Value at Risk'!$C$5=0,'Market Data - EQ'!C418-'Market Data - EQ'!C419,IF('Value at Risk'!$C$6=0,('Market Data - EQ'!C418-'Market Data - EQ'!C419)/'Market Data - EQ'!C419,LN('Market Data - EQ'!C418/'Market Data - EQ'!C419)))</f>
        <v>-1.2172976411113684E-3</v>
      </c>
      <c r="I418" s="3">
        <f>IF('Value at Risk'!$C$5=0,'Market Data - EQ'!D418-'Market Data - EQ'!D419,IF('Value at Risk'!$C$6=0,('Market Data - EQ'!D418-'Market Data - EQ'!D419)/'Market Data - EQ'!D419,LN('Market Data - EQ'!D418/'Market Data - EQ'!D419)))</f>
        <v>-1.5513946513246444E-3</v>
      </c>
      <c r="J418" s="3">
        <f>IF('Value at Risk'!$C$5=0,'Market Data - EQ'!E418-'Market Data - EQ'!E419,IF('Value at Risk'!$C$6=0,('Market Data - EQ'!E418-'Market Data - EQ'!E419)/'Market Data - EQ'!E419,LN('Market Data - EQ'!E418/'Market Data - EQ'!E419)))</f>
        <v>-5.7767547942297838E-3</v>
      </c>
      <c r="K418" s="3">
        <f>IF('Value at Risk'!$C$5=0,'Market Data - EQ'!F418-'Market Data - EQ'!F419,IF('Value at Risk'!$C$6=0,('Market Data - EQ'!F418-'Market Data - EQ'!F419)/'Market Data - EQ'!F419,LN('Market Data - EQ'!F418/'Market Data - EQ'!F419)))</f>
        <v>-1.0323156777616922E-2</v>
      </c>
      <c r="L418" s="8">
        <f t="shared" si="6"/>
        <v>-3.111398090513715E-3</v>
      </c>
    </row>
    <row r="419" spans="1:12" x14ac:dyDescent="0.25">
      <c r="A419" s="5">
        <v>43208</v>
      </c>
      <c r="B419" s="4">
        <v>966.29998799999998</v>
      </c>
      <c r="C419" s="4">
        <v>246.449997</v>
      </c>
      <c r="D419" s="4">
        <v>290.04998799999998</v>
      </c>
      <c r="E419" s="4">
        <v>1843.599976</v>
      </c>
      <c r="F419" s="4">
        <v>518.25</v>
      </c>
      <c r="G419" s="3">
        <f>IF('Value at Risk'!$C$5=0,'Market Data - EQ'!B419-'Market Data - EQ'!B420,IF('Value at Risk'!$C$6=0,('Market Data - EQ'!B419-'Market Data - EQ'!B420)/'Market Data - EQ'!B420,LN('Market Data - EQ'!B419/'Market Data - EQ'!B420)))</f>
        <v>-8.1601354888375822E-3</v>
      </c>
      <c r="H419" s="3">
        <f>IF('Value at Risk'!$C$5=0,'Market Data - EQ'!C419-'Market Data - EQ'!C420,IF('Value at Risk'!$C$6=0,('Market Data - EQ'!C419-'Market Data - EQ'!C420)/'Market Data - EQ'!C420,LN('Market Data - EQ'!C419/'Market Data - EQ'!C420)))</f>
        <v>-6.8506832202462039E-3</v>
      </c>
      <c r="I419" s="3">
        <f>IF('Value at Risk'!$C$5=0,'Market Data - EQ'!D419-'Market Data - EQ'!D420,IF('Value at Risk'!$C$6=0,('Market Data - EQ'!D419-'Market Data - EQ'!D420)/'Market Data - EQ'!D420,LN('Market Data - EQ'!D419/'Market Data - EQ'!D420)))</f>
        <v>-5.8269477292202752E-3</v>
      </c>
      <c r="J419" s="3">
        <f>IF('Value at Risk'!$C$5=0,'Market Data - EQ'!E419-'Market Data - EQ'!E420,IF('Value at Risk'!$C$6=0,('Market Data - EQ'!E419-'Market Data - EQ'!E420)/'Market Data - EQ'!E420,LN('Market Data - EQ'!E419/'Market Data - EQ'!E420)))</f>
        <v>-1.2454134129094047E-2</v>
      </c>
      <c r="K419" s="3">
        <f>IF('Value at Risk'!$C$5=0,'Market Data - EQ'!F419-'Market Data - EQ'!F420,IF('Value at Risk'!$C$6=0,('Market Data - EQ'!F419-'Market Data - EQ'!F420)/'Market Data - EQ'!F420,LN('Market Data - EQ'!F419/'Market Data - EQ'!F420)))</f>
        <v>-2.6577804962683527E-2</v>
      </c>
      <c r="L419" s="8">
        <f t="shared" si="6"/>
        <v>-1.1973941106016326E-2</v>
      </c>
    </row>
    <row r="420" spans="1:12" x14ac:dyDescent="0.25">
      <c r="A420" s="5">
        <v>43207</v>
      </c>
      <c r="B420" s="4">
        <v>974.25</v>
      </c>
      <c r="C420" s="4">
        <v>248.14999399999999</v>
      </c>
      <c r="D420" s="4">
        <v>291.75</v>
      </c>
      <c r="E420" s="4">
        <v>1866.849976</v>
      </c>
      <c r="F420" s="4">
        <v>532.40002400000003</v>
      </c>
      <c r="G420" s="3">
        <f>IF('Value at Risk'!$C$5=0,'Market Data - EQ'!B420-'Market Data - EQ'!B421,IF('Value at Risk'!$C$6=0,('Market Data - EQ'!B420-'Market Data - EQ'!B421)/'Market Data - EQ'!B421,LN('Market Data - EQ'!B420/'Market Data - EQ'!B421)))</f>
        <v>3.2954142830389646E-3</v>
      </c>
      <c r="H420" s="3">
        <f>IF('Value at Risk'!$C$5=0,'Market Data - EQ'!C420-'Market Data - EQ'!C421,IF('Value at Risk'!$C$6=0,('Market Data - EQ'!C420-'Market Data - EQ'!C421)/'Market Data - EQ'!C421,LN('Market Data - EQ'!C420/'Market Data - EQ'!C421)))</f>
        <v>-3.4136787148594683E-3</v>
      </c>
      <c r="I420" s="3">
        <f>IF('Value at Risk'!$C$5=0,'Market Data - EQ'!D420-'Market Data - EQ'!D421,IF('Value at Risk'!$C$6=0,('Market Data - EQ'!D420-'Market Data - EQ'!D421)/'Market Data - EQ'!D421,LN('Market Data - EQ'!D420/'Market Data - EQ'!D421)))</f>
        <v>1.4429742397154166E-2</v>
      </c>
      <c r="J420" s="3">
        <f>IF('Value at Risk'!$C$5=0,'Market Data - EQ'!E420-'Market Data - EQ'!E421,IF('Value at Risk'!$C$6=0,('Market Data - EQ'!E420-'Market Data - EQ'!E421)/'Market Data - EQ'!E421,LN('Market Data - EQ'!E420/'Market Data - EQ'!E421)))</f>
        <v>1.1798203264335137E-3</v>
      </c>
      <c r="K420" s="3">
        <f>IF('Value at Risk'!$C$5=0,'Market Data - EQ'!F420-'Market Data - EQ'!F421,IF('Value at Risk'!$C$6=0,('Market Data - EQ'!F420-'Market Data - EQ'!F421)/'Market Data - EQ'!F421,LN('Market Data - EQ'!F420/'Market Data - EQ'!F421)))</f>
        <v>-1.8436577355313684E-2</v>
      </c>
      <c r="L420" s="8">
        <f t="shared" si="6"/>
        <v>-5.8905581270930134E-4</v>
      </c>
    </row>
    <row r="421" spans="1:12" x14ac:dyDescent="0.25">
      <c r="A421" s="5">
        <v>43206</v>
      </c>
      <c r="B421" s="4">
        <v>971.04998799999998</v>
      </c>
      <c r="C421" s="4">
        <v>249</v>
      </c>
      <c r="D421" s="4">
        <v>287.60000600000001</v>
      </c>
      <c r="E421" s="4">
        <v>1864.650024</v>
      </c>
      <c r="F421" s="4">
        <v>542.40002400000003</v>
      </c>
      <c r="G421" s="3">
        <f>IF('Value at Risk'!$C$5=0,'Market Data - EQ'!B421-'Market Data - EQ'!B422,IF('Value at Risk'!$C$6=0,('Market Data - EQ'!B421-'Market Data - EQ'!B422)/'Market Data - EQ'!B422,LN('Market Data - EQ'!B421/'Market Data - EQ'!B422)))</f>
        <v>8.8831044155843995E-3</v>
      </c>
      <c r="H421" s="3">
        <f>IF('Value at Risk'!$C$5=0,'Market Data - EQ'!C421-'Market Data - EQ'!C422,IF('Value at Risk'!$C$6=0,('Market Data - EQ'!C421-'Market Data - EQ'!C422)/'Market Data - EQ'!C422,LN('Market Data - EQ'!C421/'Market Data - EQ'!C422)))</f>
        <v>-7.7704603439385424E-3</v>
      </c>
      <c r="I421" s="3">
        <f>IF('Value at Risk'!$C$5=0,'Market Data - EQ'!D421-'Market Data - EQ'!D422,IF('Value at Risk'!$C$6=0,('Market Data - EQ'!D421-'Market Data - EQ'!D422)/'Market Data - EQ'!D422,LN('Market Data - EQ'!D421/'Market Data - EQ'!D422)))</f>
        <v>-2.2549661751951168E-3</v>
      </c>
      <c r="J421" s="3">
        <f>IF('Value at Risk'!$C$5=0,'Market Data - EQ'!E421-'Market Data - EQ'!E422,IF('Value at Risk'!$C$6=0,('Market Data - EQ'!E421-'Market Data - EQ'!E422)/'Market Data - EQ'!E422,LN('Market Data - EQ'!E421/'Market Data - EQ'!E422)))</f>
        <v>1.7998038531186252E-3</v>
      </c>
      <c r="K421" s="3">
        <f>IF('Value at Risk'!$C$5=0,'Market Data - EQ'!F421-'Market Data - EQ'!F422,IF('Value at Risk'!$C$6=0,('Market Data - EQ'!F421-'Market Data - EQ'!F422)/'Market Data - EQ'!F422,LN('Market Data - EQ'!F421/'Market Data - EQ'!F422)))</f>
        <v>-2.7640586732434778E-4</v>
      </c>
      <c r="L421" s="8">
        <f t="shared" si="6"/>
        <v>7.6215176449003535E-5</v>
      </c>
    </row>
    <row r="422" spans="1:12" x14ac:dyDescent="0.25">
      <c r="A422" s="5">
        <v>43203</v>
      </c>
      <c r="B422" s="4">
        <v>962.5</v>
      </c>
      <c r="C422" s="4">
        <v>250.949997</v>
      </c>
      <c r="D422" s="4">
        <v>288.25</v>
      </c>
      <c r="E422" s="4">
        <v>1861.3000489999999</v>
      </c>
      <c r="F422" s="4">
        <v>542.54998799999998</v>
      </c>
      <c r="G422" s="3">
        <f>IF('Value at Risk'!$C$5=0,'Market Data - EQ'!B422-'Market Data - EQ'!B423,IF('Value at Risk'!$C$6=0,('Market Data - EQ'!B422-'Market Data - EQ'!B423)/'Market Data - EQ'!B423,LN('Market Data - EQ'!B422/'Market Data - EQ'!B423)))</f>
        <v>-1.9701617095770939E-3</v>
      </c>
      <c r="H422" s="3">
        <f>IF('Value at Risk'!$C$5=0,'Market Data - EQ'!C422-'Market Data - EQ'!C423,IF('Value at Risk'!$C$6=0,('Market Data - EQ'!C422-'Market Data - EQ'!C423)/'Market Data - EQ'!C423,LN('Market Data - EQ'!C422/'Market Data - EQ'!C423)))</f>
        <v>-1.1229337928731259E-2</v>
      </c>
      <c r="I422" s="3">
        <f>IF('Value at Risk'!$C$5=0,'Market Data - EQ'!D422-'Market Data - EQ'!D423,IF('Value at Risk'!$C$6=0,('Market Data - EQ'!D422-'Market Data - EQ'!D423)/'Market Data - EQ'!D423,LN('Market Data - EQ'!D422/'Market Data - EQ'!D423)))</f>
        <v>5.2310374891020054E-3</v>
      </c>
      <c r="J422" s="3">
        <f>IF('Value at Risk'!$C$5=0,'Market Data - EQ'!E422-'Market Data - EQ'!E423,IF('Value at Risk'!$C$6=0,('Market Data - EQ'!E422-'Market Data - EQ'!E423)/'Market Data - EQ'!E423,LN('Market Data - EQ'!E422/'Market Data - EQ'!E423)))</f>
        <v>1.8839487069041412E-3</v>
      </c>
      <c r="K422" s="3">
        <f>IF('Value at Risk'!$C$5=0,'Market Data - EQ'!F422-'Market Data - EQ'!F423,IF('Value at Risk'!$C$6=0,('Market Data - EQ'!F422-'Market Data - EQ'!F423)/'Market Data - EQ'!F423,LN('Market Data - EQ'!F422/'Market Data - EQ'!F423)))</f>
        <v>-1.1298427334851964E-2</v>
      </c>
      <c r="L422" s="8">
        <f t="shared" si="6"/>
        <v>-3.4765881554308341E-3</v>
      </c>
    </row>
    <row r="423" spans="1:12" x14ac:dyDescent="0.25">
      <c r="A423" s="5">
        <v>43202</v>
      </c>
      <c r="B423" s="4">
        <v>964.40002400000003</v>
      </c>
      <c r="C423" s="4">
        <v>253.800003</v>
      </c>
      <c r="D423" s="4">
        <v>286.75</v>
      </c>
      <c r="E423" s="4">
        <v>1857.8000489999999</v>
      </c>
      <c r="F423" s="4">
        <v>548.75</v>
      </c>
      <c r="G423" s="3">
        <f>IF('Value at Risk'!$C$5=0,'Market Data - EQ'!B423-'Market Data - EQ'!B424,IF('Value at Risk'!$C$6=0,('Market Data - EQ'!B423-'Market Data - EQ'!B424)/'Market Data - EQ'!B424,LN('Market Data - EQ'!B423/'Market Data - EQ'!B424)))</f>
        <v>5.1854350910443929E-3</v>
      </c>
      <c r="H423" s="3">
        <f>IF('Value at Risk'!$C$5=0,'Market Data - EQ'!C423-'Market Data - EQ'!C424,IF('Value at Risk'!$C$6=0,('Market Data - EQ'!C423-'Market Data - EQ'!C424)/'Market Data - EQ'!C424,LN('Market Data - EQ'!C423/'Market Data - EQ'!C424)))</f>
        <v>-1.2643396816653347E-2</v>
      </c>
      <c r="I423" s="3">
        <f>IF('Value at Risk'!$C$5=0,'Market Data - EQ'!D423-'Market Data - EQ'!D424,IF('Value at Risk'!$C$6=0,('Market Data - EQ'!D423-'Market Data - EQ'!D424)/'Market Data - EQ'!D424,LN('Market Data - EQ'!D423/'Market Data - EQ'!D424)))</f>
        <v>7.7315483843914809E-3</v>
      </c>
      <c r="J423" s="3">
        <f>IF('Value at Risk'!$C$5=0,'Market Data - EQ'!E423-'Market Data - EQ'!E424,IF('Value at Risk'!$C$6=0,('Market Data - EQ'!E423-'Market Data - EQ'!E424)/'Market Data - EQ'!E424,LN('Market Data - EQ'!E423/'Market Data - EQ'!E424)))</f>
        <v>1.1047010642597033E-3</v>
      </c>
      <c r="K423" s="3">
        <f>IF('Value at Risk'!$C$5=0,'Market Data - EQ'!F423-'Market Data - EQ'!F424,IF('Value at Risk'!$C$6=0,('Market Data - EQ'!F423-'Market Data - EQ'!F424)/'Market Data - EQ'!F424,LN('Market Data - EQ'!F423/'Market Data - EQ'!F424)))</f>
        <v>1.6580237493447322E-2</v>
      </c>
      <c r="L423" s="8">
        <f t="shared" si="6"/>
        <v>3.5917050432979101E-3</v>
      </c>
    </row>
    <row r="424" spans="1:12" x14ac:dyDescent="0.25">
      <c r="A424" s="5">
        <v>43201</v>
      </c>
      <c r="B424" s="4">
        <v>959.42498799999998</v>
      </c>
      <c r="C424" s="4">
        <v>257.04998799999998</v>
      </c>
      <c r="D424" s="4">
        <v>284.54998799999998</v>
      </c>
      <c r="E424" s="4">
        <v>1855.75</v>
      </c>
      <c r="F424" s="4">
        <v>539.79998799999998</v>
      </c>
      <c r="G424" s="3">
        <f>IF('Value at Risk'!$C$5=0,'Market Data - EQ'!B424-'Market Data - EQ'!B425,IF('Value at Risk'!$C$6=0,('Market Data - EQ'!B424-'Market Data - EQ'!B425)/'Market Data - EQ'!B425,LN('Market Data - EQ'!B424/'Market Data - EQ'!B425)))</f>
        <v>-1.0412057292286943E-3</v>
      </c>
      <c r="H424" s="3">
        <f>IF('Value at Risk'!$C$5=0,'Market Data - EQ'!C424-'Market Data - EQ'!C425,IF('Value at Risk'!$C$6=0,('Market Data - EQ'!C424-'Market Data - EQ'!C425)/'Market Data - EQ'!C425,LN('Market Data - EQ'!C424/'Market Data - EQ'!C425)))</f>
        <v>-2.3737183003593607E-2</v>
      </c>
      <c r="I424" s="3">
        <f>IF('Value at Risk'!$C$5=0,'Market Data - EQ'!D424-'Market Data - EQ'!D425,IF('Value at Risk'!$C$6=0,('Market Data - EQ'!D424-'Market Data - EQ'!D425)/'Market Data - EQ'!D425,LN('Market Data - EQ'!D424/'Market Data - EQ'!D425)))</f>
        <v>-1.4716067093465393E-2</v>
      </c>
      <c r="J424" s="3">
        <f>IF('Value at Risk'!$C$5=0,'Market Data - EQ'!E424-'Market Data - EQ'!E425,IF('Value at Risk'!$C$6=0,('Market Data - EQ'!E424-'Market Data - EQ'!E425)/'Market Data - EQ'!E425,LN('Market Data - EQ'!E424/'Market Data - EQ'!E425)))</f>
        <v>4.2209200502313516E-3</v>
      </c>
      <c r="K424" s="3">
        <f>IF('Value at Risk'!$C$5=0,'Market Data - EQ'!F424-'Market Data - EQ'!F425,IF('Value at Risk'!$C$6=0,('Market Data - EQ'!F424-'Market Data - EQ'!F425)/'Market Data - EQ'!F425,LN('Market Data - EQ'!F424/'Market Data - EQ'!F425)))</f>
        <v>-1.1626907847577143E-2</v>
      </c>
      <c r="L424" s="8">
        <f t="shared" si="6"/>
        <v>-9.3800887247266988E-3</v>
      </c>
    </row>
    <row r="425" spans="1:12" x14ac:dyDescent="0.25">
      <c r="A425" s="5">
        <v>43200</v>
      </c>
      <c r="B425" s="4">
        <v>960.42498799999998</v>
      </c>
      <c r="C425" s="4">
        <v>263.29998799999998</v>
      </c>
      <c r="D425" s="4">
        <v>288.79998799999998</v>
      </c>
      <c r="E425" s="4">
        <v>1847.9499510000001</v>
      </c>
      <c r="F425" s="4">
        <v>546.15002400000003</v>
      </c>
      <c r="G425" s="3">
        <f>IF('Value at Risk'!$C$5=0,'Market Data - EQ'!B425-'Market Data - EQ'!B426,IF('Value at Risk'!$C$6=0,('Market Data - EQ'!B425-'Market Data - EQ'!B426)/'Market Data - EQ'!B426,LN('Market Data - EQ'!B425/'Market Data - EQ'!B426)))</f>
        <v>-9.3860764546909153E-3</v>
      </c>
      <c r="H425" s="3">
        <f>IF('Value at Risk'!$C$5=0,'Market Data - EQ'!C425-'Market Data - EQ'!C426,IF('Value at Risk'!$C$6=0,('Market Data - EQ'!C425-'Market Data - EQ'!C426)/'Market Data - EQ'!C426,LN('Market Data - EQ'!C425/'Market Data - EQ'!C426)))</f>
        <v>1.0166867680802603E-2</v>
      </c>
      <c r="I425" s="3">
        <f>IF('Value at Risk'!$C$5=0,'Market Data - EQ'!D425-'Market Data - EQ'!D426,IF('Value at Risk'!$C$6=0,('Market Data - EQ'!D425-'Market Data - EQ'!D426)/'Market Data - EQ'!D426,LN('Market Data - EQ'!D425/'Market Data - EQ'!D426)))</f>
        <v>2.8306860709128762E-2</v>
      </c>
      <c r="J425" s="3">
        <f>IF('Value at Risk'!$C$5=0,'Market Data - EQ'!E425-'Market Data - EQ'!E426,IF('Value at Risk'!$C$6=0,('Market Data - EQ'!E425-'Market Data - EQ'!E426)/'Market Data - EQ'!E426,LN('Market Data - EQ'!E425/'Market Data - EQ'!E426)))</f>
        <v>-6.5319204111424136E-3</v>
      </c>
      <c r="K425" s="3">
        <f>IF('Value at Risk'!$C$5=0,'Market Data - EQ'!F425-'Market Data - EQ'!F426,IF('Value at Risk'!$C$6=0,('Market Data - EQ'!F425-'Market Data - EQ'!F426)/'Market Data - EQ'!F426,LN('Market Data - EQ'!F425/'Market Data - EQ'!F426)))</f>
        <v>5.1704287734356827E-2</v>
      </c>
      <c r="L425" s="8">
        <f t="shared" si="6"/>
        <v>1.4852003851690974E-2</v>
      </c>
    </row>
    <row r="426" spans="1:12" x14ac:dyDescent="0.25">
      <c r="A426" s="5">
        <v>43199</v>
      </c>
      <c r="B426" s="4">
        <v>969.52502400000003</v>
      </c>
      <c r="C426" s="4">
        <v>260.64999399999999</v>
      </c>
      <c r="D426" s="4">
        <v>280.85000600000001</v>
      </c>
      <c r="E426" s="4">
        <v>1860.099976</v>
      </c>
      <c r="F426" s="4">
        <v>519.29998799999998</v>
      </c>
      <c r="G426" s="3">
        <f>IF('Value at Risk'!$C$5=0,'Market Data - EQ'!B426-'Market Data - EQ'!B427,IF('Value at Risk'!$C$6=0,('Market Data - EQ'!B426-'Market Data - EQ'!B427)/'Market Data - EQ'!B427,LN('Market Data - EQ'!B426/'Market Data - EQ'!B427)))</f>
        <v>8.1366454220237801E-3</v>
      </c>
      <c r="H426" s="3">
        <f>IF('Value at Risk'!$C$5=0,'Market Data - EQ'!C426-'Market Data - EQ'!C427,IF('Value at Risk'!$C$6=0,('Market Data - EQ'!C426-'Market Data - EQ'!C427)/'Market Data - EQ'!C427,LN('Market Data - EQ'!C426/'Market Data - EQ'!C427)))</f>
        <v>3.6579975206161223E-3</v>
      </c>
      <c r="I426" s="3">
        <f>IF('Value at Risk'!$C$5=0,'Market Data - EQ'!D426-'Market Data - EQ'!D427,IF('Value at Risk'!$C$6=0,('Market Data - EQ'!D426-'Market Data - EQ'!D427)/'Market Data - EQ'!D427,LN('Market Data - EQ'!D426/'Market Data - EQ'!D427)))</f>
        <v>7.1267416453255007E-4</v>
      </c>
      <c r="J426" s="3">
        <f>IF('Value at Risk'!$C$5=0,'Market Data - EQ'!E426-'Market Data - EQ'!E427,IF('Value at Risk'!$C$6=0,('Market Data - EQ'!E426-'Market Data - EQ'!E427)/'Market Data - EQ'!E427,LN('Market Data - EQ'!E426/'Market Data - EQ'!E427)))</f>
        <v>1.9707782543657681E-2</v>
      </c>
      <c r="K426" s="3">
        <f>IF('Value at Risk'!$C$5=0,'Market Data - EQ'!F426-'Market Data - EQ'!F427,IF('Value at Risk'!$C$6=0,('Market Data - EQ'!F426-'Market Data - EQ'!F427)/'Market Data - EQ'!F427,LN('Market Data - EQ'!F426/'Market Data - EQ'!F427)))</f>
        <v>3.8184677212682615E-2</v>
      </c>
      <c r="L426" s="8">
        <f t="shared" si="6"/>
        <v>1.4079955372702551E-2</v>
      </c>
    </row>
    <row r="427" spans="1:12" x14ac:dyDescent="0.25">
      <c r="A427" s="5">
        <v>43196</v>
      </c>
      <c r="B427" s="4">
        <v>961.70001200000002</v>
      </c>
      <c r="C427" s="4">
        <v>259.70001200000002</v>
      </c>
      <c r="D427" s="4">
        <v>280.64999399999999</v>
      </c>
      <c r="E427" s="4">
        <v>1824.150024</v>
      </c>
      <c r="F427" s="4">
        <v>500.20001200000002</v>
      </c>
      <c r="G427" s="3">
        <f>IF('Value at Risk'!$C$5=0,'Market Data - EQ'!B427-'Market Data - EQ'!B428,IF('Value at Risk'!$C$6=0,('Market Data - EQ'!B427-'Market Data - EQ'!B428)/'Market Data - EQ'!B428,LN('Market Data - EQ'!B427/'Market Data - EQ'!B428)))</f>
        <v>7.5959975995055044E-3</v>
      </c>
      <c r="H427" s="3">
        <f>IF('Value at Risk'!$C$5=0,'Market Data - EQ'!C427-'Market Data - EQ'!C428,IF('Value at Risk'!$C$6=0,('Market Data - EQ'!C427-'Market Data - EQ'!C428)/'Market Data - EQ'!C428,LN('Market Data - EQ'!C427/'Market Data - EQ'!C428)))</f>
        <v>1.5427073602488188E-3</v>
      </c>
      <c r="I427" s="3">
        <f>IF('Value at Risk'!$C$5=0,'Market Data - EQ'!D427-'Market Data - EQ'!D428,IF('Value at Risk'!$C$6=0,('Market Data - EQ'!D427-'Market Data - EQ'!D428)/'Market Data - EQ'!D428,LN('Market Data - EQ'!D427/'Market Data - EQ'!D428)))</f>
        <v>7.1774629214598155E-3</v>
      </c>
      <c r="J427" s="3">
        <f>IF('Value at Risk'!$C$5=0,'Market Data - EQ'!E427-'Market Data - EQ'!E428,IF('Value at Risk'!$C$6=0,('Market Data - EQ'!E427-'Market Data - EQ'!E428)/'Market Data - EQ'!E428,LN('Market Data - EQ'!E427/'Market Data - EQ'!E428)))</f>
        <v>-6.9680325220793258E-3</v>
      </c>
      <c r="K427" s="3">
        <f>IF('Value at Risk'!$C$5=0,'Market Data - EQ'!F427-'Market Data - EQ'!F428,IF('Value at Risk'!$C$6=0,('Market Data - EQ'!F427-'Market Data - EQ'!F428)/'Market Data - EQ'!F428,LN('Market Data - EQ'!F427/'Market Data - EQ'!F428)))</f>
        <v>-5.7642495834118361E-3</v>
      </c>
      <c r="L427" s="8">
        <f t="shared" si="6"/>
        <v>7.1677715514459534E-4</v>
      </c>
    </row>
    <row r="428" spans="1:12" x14ac:dyDescent="0.25">
      <c r="A428" s="5">
        <v>43195</v>
      </c>
      <c r="B428" s="4">
        <v>954.45001200000002</v>
      </c>
      <c r="C428" s="4">
        <v>259.29998799999998</v>
      </c>
      <c r="D428" s="4">
        <v>278.64999399999999</v>
      </c>
      <c r="E428" s="4">
        <v>1836.9499510000001</v>
      </c>
      <c r="F428" s="4">
        <v>503.10000600000001</v>
      </c>
      <c r="G428" s="3">
        <f>IF('Value at Risk'!$C$5=0,'Market Data - EQ'!B428-'Market Data - EQ'!B429,IF('Value at Risk'!$C$6=0,('Market Data - EQ'!B428-'Market Data - EQ'!B429)/'Market Data - EQ'!B429,LN('Market Data - EQ'!B428/'Market Data - EQ'!B429)))</f>
        <v>1.3620084428514553E-2</v>
      </c>
      <c r="H428" s="3">
        <f>IF('Value at Risk'!$C$5=0,'Market Data - EQ'!C428-'Market Data - EQ'!C429,IF('Value at Risk'!$C$6=0,('Market Data - EQ'!C428-'Market Data - EQ'!C429)/'Market Data - EQ'!C429,LN('Market Data - EQ'!C428/'Market Data - EQ'!C429)))</f>
        <v>4.8523998602620237E-2</v>
      </c>
      <c r="I428" s="3">
        <f>IF('Value at Risk'!$C$5=0,'Market Data - EQ'!D428-'Market Data - EQ'!D429,IF('Value at Risk'!$C$6=0,('Market Data - EQ'!D428-'Market Data - EQ'!D429)/'Market Data - EQ'!D429,LN('Market Data - EQ'!D428/'Market Data - EQ'!D429)))</f>
        <v>3.7223153632380129E-2</v>
      </c>
      <c r="J428" s="3">
        <f>IF('Value at Risk'!$C$5=0,'Market Data - EQ'!E428-'Market Data - EQ'!E429,IF('Value at Risk'!$C$6=0,('Market Data - EQ'!E428-'Market Data - EQ'!E429)/'Market Data - EQ'!E429,LN('Market Data - EQ'!E428/'Market Data - EQ'!E429)))</f>
        <v>2.0896421208499844E-2</v>
      </c>
      <c r="K428" s="3">
        <f>IF('Value at Risk'!$C$5=0,'Market Data - EQ'!F428-'Market Data - EQ'!F429,IF('Value at Risk'!$C$6=0,('Market Data - EQ'!F428-'Market Data - EQ'!F429)/'Market Data - EQ'!F429,LN('Market Data - EQ'!F428/'Market Data - EQ'!F429)))</f>
        <v>2.2041657694261061E-2</v>
      </c>
      <c r="L428" s="8">
        <f t="shared" si="6"/>
        <v>2.8461063113255164E-2</v>
      </c>
    </row>
    <row r="429" spans="1:12" x14ac:dyDescent="0.25">
      <c r="A429" s="5">
        <v>43194</v>
      </c>
      <c r="B429" s="4">
        <v>941.625</v>
      </c>
      <c r="C429" s="4">
        <v>247.300003</v>
      </c>
      <c r="D429" s="4">
        <v>268.64999399999999</v>
      </c>
      <c r="E429" s="4">
        <v>1799.349976</v>
      </c>
      <c r="F429" s="4">
        <v>492.25</v>
      </c>
      <c r="G429" s="3">
        <f>IF('Value at Risk'!$C$5=0,'Market Data - EQ'!B429-'Market Data - EQ'!B430,IF('Value at Risk'!$C$6=0,('Market Data - EQ'!B429-'Market Data - EQ'!B430)/'Market Data - EQ'!B430,LN('Market Data - EQ'!B429/'Market Data - EQ'!B430)))</f>
        <v>-1.7041611561668852E-2</v>
      </c>
      <c r="H429" s="3">
        <f>IF('Value at Risk'!$C$5=0,'Market Data - EQ'!C429-'Market Data - EQ'!C430,IF('Value at Risk'!$C$6=0,('Market Data - EQ'!C429-'Market Data - EQ'!C430)/'Market Data - EQ'!C430,LN('Market Data - EQ'!C429/'Market Data - EQ'!C430)))</f>
        <v>-1.2774439121756472E-2</v>
      </c>
      <c r="I429" s="3">
        <f>IF('Value at Risk'!$C$5=0,'Market Data - EQ'!D429-'Market Data - EQ'!D430,IF('Value at Risk'!$C$6=0,('Market Data - EQ'!D429-'Market Data - EQ'!D430)/'Market Data - EQ'!D430,LN('Market Data - EQ'!D429/'Market Data - EQ'!D430)))</f>
        <v>-5.1842031557505289E-3</v>
      </c>
      <c r="J429" s="3">
        <f>IF('Value at Risk'!$C$5=0,'Market Data - EQ'!E429-'Market Data - EQ'!E430,IF('Value at Risk'!$C$6=0,('Market Data - EQ'!E429-'Market Data - EQ'!E430)/'Market Data - EQ'!E430,LN('Market Data - EQ'!E429/'Market Data - EQ'!E430)))</f>
        <v>-1.6587405483293956E-2</v>
      </c>
      <c r="K429" s="3">
        <f>IF('Value at Risk'!$C$5=0,'Market Data - EQ'!F429-'Market Data - EQ'!F430,IF('Value at Risk'!$C$6=0,('Market Data - EQ'!F429-'Market Data - EQ'!F430)/'Market Data - EQ'!F430,LN('Market Data - EQ'!F429/'Market Data - EQ'!F430)))</f>
        <v>-1.8542494711414458E-2</v>
      </c>
      <c r="L429" s="8">
        <f t="shared" si="6"/>
        <v>-1.4026030806776854E-2</v>
      </c>
    </row>
    <row r="430" spans="1:12" x14ac:dyDescent="0.25">
      <c r="A430" s="5">
        <v>43193</v>
      </c>
      <c r="B430" s="4">
        <v>957.95001200000002</v>
      </c>
      <c r="C430" s="4">
        <v>250.5</v>
      </c>
      <c r="D430" s="4">
        <v>270.04998799999998</v>
      </c>
      <c r="E430" s="4">
        <v>1829.6999510000001</v>
      </c>
      <c r="F430" s="4">
        <v>501.54998799999998</v>
      </c>
      <c r="G430" s="3">
        <f>IF('Value at Risk'!$C$5=0,'Market Data - EQ'!B430-'Market Data - EQ'!B431,IF('Value at Risk'!$C$6=0,('Market Data - EQ'!B430-'Market Data - EQ'!B431)/'Market Data - EQ'!B431,LN('Market Data - EQ'!B430/'Market Data - EQ'!B431)))</f>
        <v>-7.922498125662706E-3</v>
      </c>
      <c r="H430" s="3">
        <f>IF('Value at Risk'!$C$5=0,'Market Data - EQ'!C430-'Market Data - EQ'!C431,IF('Value at Risk'!$C$6=0,('Market Data - EQ'!C430-'Market Data - EQ'!C431)/'Market Data - EQ'!C431,LN('Market Data - EQ'!C430/'Market Data - EQ'!C431)))</f>
        <v>1.7672175933508279E-2</v>
      </c>
      <c r="I430" s="3">
        <f>IF('Value at Risk'!$C$5=0,'Market Data - EQ'!D430-'Market Data - EQ'!D431,IF('Value at Risk'!$C$6=0,('Market Data - EQ'!D430-'Market Data - EQ'!D431)/'Market Data - EQ'!D431,LN('Market Data - EQ'!D430/'Market Data - EQ'!D431)))</f>
        <v>3.1315569265253244E-2</v>
      </c>
      <c r="J430" s="3">
        <f>IF('Value at Risk'!$C$5=0,'Market Data - EQ'!E430-'Market Data - EQ'!E431,IF('Value at Risk'!$C$6=0,('Market Data - EQ'!E430-'Market Data - EQ'!E431)/'Market Data - EQ'!E431,LN('Market Data - EQ'!E430/'Market Data - EQ'!E431)))</f>
        <v>1.3908885810602541E-2</v>
      </c>
      <c r="K430" s="3">
        <f>IF('Value at Risk'!$C$5=0,'Market Data - EQ'!F430-'Market Data - EQ'!F431,IF('Value at Risk'!$C$6=0,('Market Data - EQ'!F430-'Market Data - EQ'!F431)/'Market Data - EQ'!F431,LN('Market Data - EQ'!F430/'Market Data - EQ'!F431)))</f>
        <v>5.0095182048175901E-3</v>
      </c>
      <c r="L430" s="8">
        <f t="shared" si="6"/>
        <v>1.199673021770379E-2</v>
      </c>
    </row>
    <row r="431" spans="1:12" x14ac:dyDescent="0.25">
      <c r="A431" s="5">
        <v>43192</v>
      </c>
      <c r="B431" s="4">
        <v>965.59997599999997</v>
      </c>
      <c r="C431" s="4">
        <v>246.14999399999999</v>
      </c>
      <c r="D431" s="4">
        <v>261.85000600000001</v>
      </c>
      <c r="E431" s="4">
        <v>1804.599976</v>
      </c>
      <c r="F431" s="4">
        <v>499.04998799999998</v>
      </c>
      <c r="G431" s="3">
        <f>IF('Value at Risk'!$C$5=0,'Market Data - EQ'!B431-'Market Data - EQ'!B432,IF('Value at Risk'!$C$6=0,('Market Data - EQ'!B431-'Market Data - EQ'!B432)/'Market Data - EQ'!B432,LN('Market Data - EQ'!B431/'Market Data - EQ'!B432)))</f>
        <v>2.3911763201252472E-2</v>
      </c>
      <c r="H431" s="3">
        <f>IF('Value at Risk'!$C$5=0,'Market Data - EQ'!C431-'Market Data - EQ'!C432,IF('Value at Risk'!$C$6=0,('Market Data - EQ'!C431-'Market Data - EQ'!C432)/'Market Data - EQ'!C432,LN('Market Data - EQ'!C431/'Market Data - EQ'!C432)))</f>
        <v>-1.5006002761248567E-2</v>
      </c>
      <c r="I431" s="3">
        <f>IF('Value at Risk'!$C$5=0,'Market Data - EQ'!D431-'Market Data - EQ'!D432,IF('Value at Risk'!$C$6=0,('Market Data - EQ'!D431-'Market Data - EQ'!D432)/'Market Data - EQ'!D432,LN('Market Data - EQ'!D431/'Market Data - EQ'!D432)))</f>
        <v>-5.9277886273873474E-2</v>
      </c>
      <c r="J431" s="3">
        <f>IF('Value at Risk'!$C$5=0,'Market Data - EQ'!E431-'Market Data - EQ'!E432,IF('Value at Risk'!$C$6=0,('Market Data - EQ'!E431-'Market Data - EQ'!E432)/'Market Data - EQ'!E432,LN('Market Data - EQ'!E431/'Market Data - EQ'!E432)))</f>
        <v>4.3689862251286874E-3</v>
      </c>
      <c r="K431" s="3">
        <f>IF('Value at Risk'!$C$5=0,'Market Data - EQ'!F431-'Market Data - EQ'!F432,IF('Value at Risk'!$C$6=0,('Market Data - EQ'!F431-'Market Data - EQ'!F432)/'Market Data - EQ'!F432,LN('Market Data - EQ'!F431/'Market Data - EQ'!F432)))</f>
        <v>-2.2429014691478972E-2</v>
      </c>
      <c r="L431" s="8">
        <f t="shared" si="6"/>
        <v>-1.3686430860043971E-2</v>
      </c>
    </row>
    <row r="432" spans="1:12" x14ac:dyDescent="0.25">
      <c r="A432" s="5">
        <v>43187</v>
      </c>
      <c r="B432" s="4">
        <v>943.04998799999998</v>
      </c>
      <c r="C432" s="4">
        <v>249.89999399999999</v>
      </c>
      <c r="D432" s="4">
        <v>278.35000600000001</v>
      </c>
      <c r="E432" s="4">
        <v>1796.75</v>
      </c>
      <c r="F432" s="4">
        <v>510.5</v>
      </c>
      <c r="G432" s="3">
        <f>IF('Value at Risk'!$C$5=0,'Market Data - EQ'!B432-'Market Data - EQ'!B433,IF('Value at Risk'!$C$6=0,('Market Data - EQ'!B432-'Market Data - EQ'!B433)/'Market Data - EQ'!B433,LN('Market Data - EQ'!B432/'Market Data - EQ'!B433)))</f>
        <v>-3.4344288716190918E-3</v>
      </c>
      <c r="H432" s="3">
        <f>IF('Value at Risk'!$C$5=0,'Market Data - EQ'!C432-'Market Data - EQ'!C433,IF('Value at Risk'!$C$6=0,('Market Data - EQ'!C432-'Market Data - EQ'!C433)/'Market Data - EQ'!C433,LN('Market Data - EQ'!C432/'Market Data - EQ'!C433)))</f>
        <v>-1.7495623727250924E-2</v>
      </c>
      <c r="I432" s="3">
        <f>IF('Value at Risk'!$C$5=0,'Market Data - EQ'!D432-'Market Data - EQ'!D433,IF('Value at Risk'!$C$6=0,('Market Data - EQ'!D432-'Market Data - EQ'!D433)/'Market Data - EQ'!D433,LN('Market Data - EQ'!D432/'Market Data - EQ'!D433)))</f>
        <v>-1.9549095164827602E-2</v>
      </c>
      <c r="J432" s="3">
        <f>IF('Value at Risk'!$C$5=0,'Market Data - EQ'!E432-'Market Data - EQ'!E433,IF('Value at Risk'!$C$6=0,('Market Data - EQ'!E432-'Market Data - EQ'!E433)/'Market Data - EQ'!E433,LN('Market Data - EQ'!E432/'Market Data - EQ'!E433)))</f>
        <v>4.7813719015139065E-3</v>
      </c>
      <c r="K432" s="3">
        <f>IF('Value at Risk'!$C$5=0,'Market Data - EQ'!F432-'Market Data - EQ'!F433,IF('Value at Risk'!$C$6=0,('Market Data - EQ'!F432-'Market Data - EQ'!F433)/'Market Data - EQ'!F433,LN('Market Data - EQ'!F432/'Market Data - EQ'!F433)))</f>
        <v>-3.3190393599600602E-3</v>
      </c>
      <c r="L432" s="8">
        <f t="shared" si="6"/>
        <v>-7.8033630444287547E-3</v>
      </c>
    </row>
    <row r="433" spans="1:12" x14ac:dyDescent="0.25">
      <c r="A433" s="5">
        <v>43186</v>
      </c>
      <c r="B433" s="4">
        <v>946.29998799999998</v>
      </c>
      <c r="C433" s="4">
        <v>254.35000600000001</v>
      </c>
      <c r="D433" s="4">
        <v>283.89999399999999</v>
      </c>
      <c r="E433" s="4">
        <v>1788.1999510000001</v>
      </c>
      <c r="F433" s="4">
        <v>512.20001200000002</v>
      </c>
      <c r="G433" s="3">
        <f>IF('Value at Risk'!$C$5=0,'Market Data - EQ'!B433-'Market Data - EQ'!B434,IF('Value at Risk'!$C$6=0,('Market Data - EQ'!B433-'Market Data - EQ'!B434)/'Market Data - EQ'!B434,LN('Market Data - EQ'!B433/'Market Data - EQ'!B434)))</f>
        <v>-4.4890333599901226E-4</v>
      </c>
      <c r="H433" s="3">
        <f>IF('Value at Risk'!$C$5=0,'Market Data - EQ'!C433-'Market Data - EQ'!C434,IF('Value at Risk'!$C$6=0,('Market Data - EQ'!C433-'Market Data - EQ'!C434)/'Market Data - EQ'!C434,LN('Market Data - EQ'!C433/'Market Data - EQ'!C434)))</f>
        <v>3.184586612576068E-2</v>
      </c>
      <c r="I433" s="3">
        <f>IF('Value at Risk'!$C$5=0,'Market Data - EQ'!D433-'Market Data - EQ'!D434,IF('Value at Risk'!$C$6=0,('Market Data - EQ'!D433-'Market Data - EQ'!D434)/'Market Data - EQ'!D434,LN('Market Data - EQ'!D433/'Market Data - EQ'!D434)))</f>
        <v>7.9886385511515404E-3</v>
      </c>
      <c r="J433" s="3">
        <f>IF('Value at Risk'!$C$5=0,'Market Data - EQ'!E433-'Market Data - EQ'!E434,IF('Value at Risk'!$C$6=0,('Market Data - EQ'!E433-'Market Data - EQ'!E434)/'Market Data - EQ'!E434,LN('Market Data - EQ'!E433/'Market Data - EQ'!E434)))</f>
        <v>1.6167041341099621E-2</v>
      </c>
      <c r="K433" s="3">
        <f>IF('Value at Risk'!$C$5=0,'Market Data - EQ'!F433-'Market Data - EQ'!F434,IF('Value at Risk'!$C$6=0,('Market Data - EQ'!F433-'Market Data - EQ'!F434)/'Market Data - EQ'!F434,LN('Market Data - EQ'!F433/'Market Data - EQ'!F434)))</f>
        <v>9.6590264457093386E-3</v>
      </c>
      <c r="L433" s="8">
        <f t="shared" si="6"/>
        <v>1.3042333825544433E-2</v>
      </c>
    </row>
    <row r="434" spans="1:12" x14ac:dyDescent="0.25">
      <c r="A434" s="5">
        <v>43185</v>
      </c>
      <c r="B434" s="4">
        <v>946.72497599999997</v>
      </c>
      <c r="C434" s="4">
        <v>246.5</v>
      </c>
      <c r="D434" s="4">
        <v>281.64999399999999</v>
      </c>
      <c r="E434" s="4">
        <v>1759.75</v>
      </c>
      <c r="F434" s="4">
        <v>507.29998799999998</v>
      </c>
      <c r="G434" s="3">
        <f>IF('Value at Risk'!$C$5=0,'Market Data - EQ'!B434-'Market Data - EQ'!B435,IF('Value at Risk'!$C$6=0,('Market Data - EQ'!B434-'Market Data - EQ'!B435)/'Market Data - EQ'!B435,LN('Market Data - EQ'!B434/'Market Data - EQ'!B435)))</f>
        <v>2.8182727945062006E-2</v>
      </c>
      <c r="H434" s="3">
        <f>IF('Value at Risk'!$C$5=0,'Market Data - EQ'!C434-'Market Data - EQ'!C435,IF('Value at Risk'!$C$6=0,('Market Data - EQ'!C434-'Market Data - EQ'!C435)/'Market Data - EQ'!C435,LN('Market Data - EQ'!C434/'Market Data - EQ'!C435)))</f>
        <v>4.9829628835226188E-2</v>
      </c>
      <c r="I434" s="3">
        <f>IF('Value at Risk'!$C$5=0,'Market Data - EQ'!D434-'Market Data - EQ'!D435,IF('Value at Risk'!$C$6=0,('Market Data - EQ'!D434-'Market Data - EQ'!D435)/'Market Data - EQ'!D435,LN('Market Data - EQ'!D434/'Market Data - EQ'!D435)))</f>
        <v>2.2137565834334232E-2</v>
      </c>
      <c r="J434" s="3">
        <f>IF('Value at Risk'!$C$5=0,'Market Data - EQ'!E434-'Market Data - EQ'!E435,IF('Value at Risk'!$C$6=0,('Market Data - EQ'!E434-'Market Data - EQ'!E435)/'Market Data - EQ'!E435,LN('Market Data - EQ'!E434/'Market Data - EQ'!E435)))</f>
        <v>5.8588168048013716E-3</v>
      </c>
      <c r="K434" s="3">
        <f>IF('Value at Risk'!$C$5=0,'Market Data - EQ'!F434-'Market Data - EQ'!F435,IF('Value at Risk'!$C$6=0,('Market Data - EQ'!F434-'Market Data - EQ'!F435)/'Market Data - EQ'!F435,LN('Market Data - EQ'!F434/'Market Data - EQ'!F435)))</f>
        <v>1.5615591591591562E-2</v>
      </c>
      <c r="L434" s="8">
        <f t="shared" si="6"/>
        <v>2.4324866202203074E-2</v>
      </c>
    </row>
    <row r="435" spans="1:12" x14ac:dyDescent="0.25">
      <c r="A435" s="5">
        <v>43182</v>
      </c>
      <c r="B435" s="4">
        <v>920.77502400000003</v>
      </c>
      <c r="C435" s="4">
        <v>234.800003</v>
      </c>
      <c r="D435" s="4">
        <v>275.54998799999998</v>
      </c>
      <c r="E435" s="4">
        <v>1749.5</v>
      </c>
      <c r="F435" s="4">
        <v>499.5</v>
      </c>
      <c r="G435" s="3">
        <f>IF('Value at Risk'!$C$5=0,'Market Data - EQ'!B435-'Market Data - EQ'!B436,IF('Value at Risk'!$C$6=0,('Market Data - EQ'!B435-'Market Data - EQ'!B436)/'Market Data - EQ'!B436,LN('Market Data - EQ'!B435/'Market Data - EQ'!B436)))</f>
        <v>-1.4027547583991402E-2</v>
      </c>
      <c r="H435" s="3">
        <f>IF('Value at Risk'!$C$5=0,'Market Data - EQ'!C435-'Market Data - EQ'!C436,IF('Value at Risk'!$C$6=0,('Market Data - EQ'!C435-'Market Data - EQ'!C436)/'Market Data - EQ'!C436,LN('Market Data - EQ'!C435/'Market Data - EQ'!C436)))</f>
        <v>-2.7944524596010871E-2</v>
      </c>
      <c r="I435" s="3">
        <f>IF('Value at Risk'!$C$5=0,'Market Data - EQ'!D435-'Market Data - EQ'!D436,IF('Value at Risk'!$C$6=0,('Market Data - EQ'!D435-'Market Data - EQ'!D436)/'Market Data - EQ'!D436,LN('Market Data - EQ'!D435/'Market Data - EQ'!D436)))</f>
        <v>-2.7184508384819117E-2</v>
      </c>
      <c r="J435" s="3">
        <f>IF('Value at Risk'!$C$5=0,'Market Data - EQ'!E435-'Market Data - EQ'!E436,IF('Value at Risk'!$C$6=0,('Market Data - EQ'!E435-'Market Data - EQ'!E436)/'Market Data - EQ'!E436,LN('Market Data - EQ'!E435/'Market Data - EQ'!E436)))</f>
        <v>-2.0534915574033238E-3</v>
      </c>
      <c r="K435" s="3">
        <f>IF('Value at Risk'!$C$5=0,'Market Data - EQ'!F435-'Market Data - EQ'!F436,IF('Value at Risk'!$C$6=0,('Market Data - EQ'!F435-'Market Data - EQ'!F436)/'Market Data - EQ'!F436,LN('Market Data - EQ'!F435/'Market Data - EQ'!F436)))</f>
        <v>-3.6086475428333285E-2</v>
      </c>
      <c r="L435" s="8">
        <f t="shared" si="6"/>
        <v>-2.1459309510111602E-2</v>
      </c>
    </row>
    <row r="436" spans="1:12" x14ac:dyDescent="0.25">
      <c r="A436" s="5">
        <v>43181</v>
      </c>
      <c r="B436" s="4">
        <v>933.875</v>
      </c>
      <c r="C436" s="4">
        <v>241.550003</v>
      </c>
      <c r="D436" s="4">
        <v>283.25</v>
      </c>
      <c r="E436" s="4">
        <v>1753.099976</v>
      </c>
      <c r="F436" s="4">
        <v>518.20001200000002</v>
      </c>
      <c r="G436" s="3">
        <f>IF('Value at Risk'!$C$5=0,'Market Data - EQ'!B436-'Market Data - EQ'!B437,IF('Value at Risk'!$C$6=0,('Market Data - EQ'!B436-'Market Data - EQ'!B437)/'Market Data - EQ'!B437,LN('Market Data - EQ'!B436/'Market Data - EQ'!B437)))</f>
        <v>4.7608671180478556E-3</v>
      </c>
      <c r="H436" s="3">
        <f>IF('Value at Risk'!$C$5=0,'Market Data - EQ'!C436-'Market Data - EQ'!C437,IF('Value at Risk'!$C$6=0,('Market Data - EQ'!C436-'Market Data - EQ'!C437)/'Market Data - EQ'!C437,LN('Market Data - EQ'!C436/'Market Data - EQ'!C437)))</f>
        <v>-2.6008052419354822E-2</v>
      </c>
      <c r="I436" s="3">
        <f>IF('Value at Risk'!$C$5=0,'Market Data - EQ'!D436-'Market Data - EQ'!D437,IF('Value at Risk'!$C$6=0,('Market Data - EQ'!D436-'Market Data - EQ'!D437)/'Market Data - EQ'!D437,LN('Market Data - EQ'!D436/'Market Data - EQ'!D437)))</f>
        <v>-2.0574037873829738E-2</v>
      </c>
      <c r="J436" s="3">
        <f>IF('Value at Risk'!$C$5=0,'Market Data - EQ'!E436-'Market Data - EQ'!E437,IF('Value at Risk'!$C$6=0,('Market Data - EQ'!E436-'Market Data - EQ'!E437)/'Market Data - EQ'!E437,LN('Market Data - EQ'!E436/'Market Data - EQ'!E437)))</f>
        <v>1.2503985453056803E-2</v>
      </c>
      <c r="K436" s="3">
        <f>IF('Value at Risk'!$C$5=0,'Market Data - EQ'!F436-'Market Data - EQ'!F437,IF('Value at Risk'!$C$6=0,('Market Data - EQ'!F436-'Market Data - EQ'!F437)/'Market Data - EQ'!F437,LN('Market Data - EQ'!F436/'Market Data - EQ'!F437)))</f>
        <v>-1.539041646339534E-2</v>
      </c>
      <c r="L436" s="8">
        <f t="shared" si="6"/>
        <v>-8.9415308370950474E-3</v>
      </c>
    </row>
    <row r="437" spans="1:12" x14ac:dyDescent="0.25">
      <c r="A437" s="5">
        <v>43180</v>
      </c>
      <c r="B437" s="4">
        <v>929.45001200000002</v>
      </c>
      <c r="C437" s="4">
        <v>248</v>
      </c>
      <c r="D437" s="4">
        <v>289.20001200000002</v>
      </c>
      <c r="E437" s="4">
        <v>1731.4499510000001</v>
      </c>
      <c r="F437" s="4">
        <v>526.29998799999998</v>
      </c>
      <c r="G437" s="3">
        <f>IF('Value at Risk'!$C$5=0,'Market Data - EQ'!B437-'Market Data - EQ'!B438,IF('Value at Risk'!$C$6=0,('Market Data - EQ'!B437-'Market Data - EQ'!B438)/'Market Data - EQ'!B438,LN('Market Data - EQ'!B437/'Market Data - EQ'!B438)))</f>
        <v>1.0546357162272374E-2</v>
      </c>
      <c r="H437" s="3">
        <f>IF('Value at Risk'!$C$5=0,'Market Data - EQ'!C437-'Market Data - EQ'!C438,IF('Value at Risk'!$C$6=0,('Market Data - EQ'!C437-'Market Data - EQ'!C438)/'Market Data - EQ'!C438,LN('Market Data - EQ'!C437/'Market Data - EQ'!C438)))</f>
        <v>-4.4159212103752725E-3</v>
      </c>
      <c r="I437" s="3">
        <f>IF('Value at Risk'!$C$5=0,'Market Data - EQ'!D437-'Market Data - EQ'!D438,IF('Value at Risk'!$C$6=0,('Market Data - EQ'!D437-'Market Data - EQ'!D438)/'Market Data - EQ'!D438,LN('Market Data - EQ'!D437/'Market Data - EQ'!D438)))</f>
        <v>-9.5889999999999483E-3</v>
      </c>
      <c r="J437" s="3">
        <f>IF('Value at Risk'!$C$5=0,'Market Data - EQ'!E437-'Market Data - EQ'!E438,IF('Value at Risk'!$C$6=0,('Market Data - EQ'!E437-'Market Data - EQ'!E438)/'Market Data - EQ'!E438,LN('Market Data - EQ'!E437/'Market Data - EQ'!E438)))</f>
        <v>8.6214002814122958E-3</v>
      </c>
      <c r="K437" s="3">
        <f>IF('Value at Risk'!$C$5=0,'Market Data - EQ'!F437-'Market Data - EQ'!F438,IF('Value at Risk'!$C$6=0,('Market Data - EQ'!F437-'Market Data - EQ'!F438)/'Market Data - EQ'!F438,LN('Market Data - EQ'!F437/'Market Data - EQ'!F438)))</f>
        <v>9.9789142957089974E-3</v>
      </c>
      <c r="L437" s="8">
        <f t="shared" si="6"/>
        <v>3.0283501058036891E-3</v>
      </c>
    </row>
    <row r="438" spans="1:12" x14ac:dyDescent="0.25">
      <c r="A438" s="5">
        <v>43179</v>
      </c>
      <c r="B438" s="4">
        <v>919.75</v>
      </c>
      <c r="C438" s="4">
        <v>249.10000600000001</v>
      </c>
      <c r="D438" s="4">
        <v>292</v>
      </c>
      <c r="E438" s="4">
        <v>1716.650024</v>
      </c>
      <c r="F438" s="4">
        <v>521.09997599999997</v>
      </c>
      <c r="G438" s="3">
        <f>IF('Value at Risk'!$C$5=0,'Market Data - EQ'!B438-'Market Data - EQ'!B439,IF('Value at Risk'!$C$6=0,('Market Data - EQ'!B438-'Market Data - EQ'!B439)/'Market Data - EQ'!B439,LN('Market Data - EQ'!B438/'Market Data - EQ'!B439)))</f>
        <v>-4.1954256326972523E-3</v>
      </c>
      <c r="H438" s="3">
        <f>IF('Value at Risk'!$C$5=0,'Market Data - EQ'!C438-'Market Data - EQ'!C439,IF('Value at Risk'!$C$6=0,('Market Data - EQ'!C438-'Market Data - EQ'!C439)/'Market Data - EQ'!C439,LN('Market Data - EQ'!C438/'Market Data - EQ'!C439)))</f>
        <v>4.6380682150200282E-3</v>
      </c>
      <c r="I438" s="3">
        <f>IF('Value at Risk'!$C$5=0,'Market Data - EQ'!D438-'Market Data - EQ'!D439,IF('Value at Risk'!$C$6=0,('Market Data - EQ'!D438-'Market Data - EQ'!D439)/'Market Data - EQ'!D439,LN('Market Data - EQ'!D438/'Market Data - EQ'!D439)))</f>
        <v>-8.6572334200875432E-3</v>
      </c>
      <c r="J438" s="3">
        <f>IF('Value at Risk'!$C$5=0,'Market Data - EQ'!E438-'Market Data - EQ'!E439,IF('Value at Risk'!$C$6=0,('Market Data - EQ'!E438-'Market Data - EQ'!E439)/'Market Data - EQ'!E439,LN('Market Data - EQ'!E438/'Market Data - EQ'!E439)))</f>
        <v>-1.2508872112557837E-3</v>
      </c>
      <c r="K438" s="3">
        <f>IF('Value at Risk'!$C$5=0,'Market Data - EQ'!F438-'Market Data - EQ'!F439,IF('Value at Risk'!$C$6=0,('Market Data - EQ'!F438-'Market Data - EQ'!F439)/'Market Data - EQ'!F439,LN('Market Data - EQ'!F438/'Market Data - EQ'!F439)))</f>
        <v>3.1763672382010733E-3</v>
      </c>
      <c r="L438" s="8">
        <f t="shared" si="6"/>
        <v>-1.2578221621638956E-3</v>
      </c>
    </row>
    <row r="439" spans="1:12" x14ac:dyDescent="0.25">
      <c r="A439" s="5">
        <v>43178</v>
      </c>
      <c r="B439" s="4">
        <v>923.625</v>
      </c>
      <c r="C439" s="4">
        <v>247.949997</v>
      </c>
      <c r="D439" s="4">
        <v>294.54998799999998</v>
      </c>
      <c r="E439" s="4">
        <v>1718.8000489999999</v>
      </c>
      <c r="F439" s="4">
        <v>519.45001200000002</v>
      </c>
      <c r="G439" s="3">
        <f>IF('Value at Risk'!$C$5=0,'Market Data - EQ'!B439-'Market Data - EQ'!B440,IF('Value at Risk'!$C$6=0,('Market Data - EQ'!B439-'Market Data - EQ'!B440)/'Market Data - EQ'!B440,LN('Market Data - EQ'!B439/'Market Data - EQ'!B440)))</f>
        <v>-3.10307609282245E-3</v>
      </c>
      <c r="H439" s="3">
        <f>IF('Value at Risk'!$C$5=0,'Market Data - EQ'!C439-'Market Data - EQ'!C440,IF('Value at Risk'!$C$6=0,('Market Data - EQ'!C439-'Market Data - EQ'!C440)/'Market Data - EQ'!C440,LN('Market Data - EQ'!C439/'Market Data - EQ'!C440)))</f>
        <v>-1.7241402886546964E-2</v>
      </c>
      <c r="I439" s="3">
        <f>IF('Value at Risk'!$C$5=0,'Market Data - EQ'!D439-'Market Data - EQ'!D440,IF('Value at Risk'!$C$6=0,('Market Data - EQ'!D439-'Market Data - EQ'!D440)/'Market Data - EQ'!D440,LN('Market Data - EQ'!D439/'Market Data - EQ'!D440)))</f>
        <v>-1.1908815593918581E-2</v>
      </c>
      <c r="J439" s="3">
        <f>IF('Value at Risk'!$C$5=0,'Market Data - EQ'!E439-'Market Data - EQ'!E440,IF('Value at Risk'!$C$6=0,('Market Data - EQ'!E439-'Market Data - EQ'!E440)/'Market Data - EQ'!E440,LN('Market Data - EQ'!E439/'Market Data - EQ'!E440)))</f>
        <v>-3.4208280672700679E-3</v>
      </c>
      <c r="K439" s="3">
        <f>IF('Value at Risk'!$C$5=0,'Market Data - EQ'!F439-'Market Data - EQ'!F440,IF('Value at Risk'!$C$6=0,('Market Data - EQ'!F439-'Market Data - EQ'!F440)/'Market Data - EQ'!F440,LN('Market Data - EQ'!F439/'Market Data - EQ'!F440)))</f>
        <v>-6.027485925487212E-3</v>
      </c>
      <c r="L439" s="8">
        <f t="shared" si="6"/>
        <v>-8.3403217132090555E-3</v>
      </c>
    </row>
    <row r="440" spans="1:12" x14ac:dyDescent="0.25">
      <c r="A440" s="5">
        <v>43175</v>
      </c>
      <c r="B440" s="4">
        <v>926.5</v>
      </c>
      <c r="C440" s="4">
        <v>252.300003</v>
      </c>
      <c r="D440" s="4">
        <v>298.10000600000001</v>
      </c>
      <c r="E440" s="4">
        <v>1724.6999510000001</v>
      </c>
      <c r="F440" s="4">
        <v>522.59997599999997</v>
      </c>
      <c r="G440" s="3">
        <f>IF('Value at Risk'!$C$5=0,'Market Data - EQ'!B440-'Market Data - EQ'!B441,IF('Value at Risk'!$C$6=0,('Market Data - EQ'!B440-'Market Data - EQ'!B441)/'Market Data - EQ'!B441,LN('Market Data - EQ'!B440/'Market Data - EQ'!B441)))</f>
        <v>-1.4780969422859171E-2</v>
      </c>
      <c r="H440" s="3">
        <f>IF('Value at Risk'!$C$5=0,'Market Data - EQ'!C440-'Market Data - EQ'!C441,IF('Value at Risk'!$C$6=0,('Market Data - EQ'!C440-'Market Data - EQ'!C441)/'Market Data - EQ'!C441,LN('Market Data - EQ'!C440/'Market Data - EQ'!C441)))</f>
        <v>-5.5183051499996371E-3</v>
      </c>
      <c r="I440" s="3">
        <f>IF('Value at Risk'!$C$5=0,'Market Data - EQ'!D440-'Market Data - EQ'!D441,IF('Value at Risk'!$C$6=0,('Market Data - EQ'!D440-'Market Data - EQ'!D441)/'Market Data - EQ'!D441,LN('Market Data - EQ'!D440/'Market Data - EQ'!D441)))</f>
        <v>-1.1112973516816472E-2</v>
      </c>
      <c r="J440" s="3">
        <f>IF('Value at Risk'!$C$5=0,'Market Data - EQ'!E440-'Market Data - EQ'!E441,IF('Value at Risk'!$C$6=0,('Market Data - EQ'!E440-'Market Data - EQ'!E441)/'Market Data - EQ'!E441,LN('Market Data - EQ'!E440/'Market Data - EQ'!E441)))</f>
        <v>-9.7890334433758837E-3</v>
      </c>
      <c r="K440" s="3">
        <f>IF('Value at Risk'!$C$5=0,'Market Data - EQ'!F440-'Market Data - EQ'!F441,IF('Value at Risk'!$C$6=0,('Market Data - EQ'!F440-'Market Data - EQ'!F441)/'Market Data - EQ'!F441,LN('Market Data - EQ'!F440/'Market Data - EQ'!F441)))</f>
        <v>-1.3310766884813849E-2</v>
      </c>
      <c r="L440" s="8">
        <f t="shared" si="6"/>
        <v>-1.0902409683573002E-2</v>
      </c>
    </row>
    <row r="441" spans="1:12" x14ac:dyDescent="0.25">
      <c r="A441" s="5">
        <v>43174</v>
      </c>
      <c r="B441" s="4">
        <v>940.40002400000003</v>
      </c>
      <c r="C441" s="4">
        <v>253.699997</v>
      </c>
      <c r="D441" s="4">
        <v>301.45001200000002</v>
      </c>
      <c r="E441" s="4">
        <v>1741.75</v>
      </c>
      <c r="F441" s="4">
        <v>529.65002400000003</v>
      </c>
      <c r="G441" s="3">
        <f>IF('Value at Risk'!$C$5=0,'Market Data - EQ'!B441-'Market Data - EQ'!B442,IF('Value at Risk'!$C$6=0,('Market Data - EQ'!B441-'Market Data - EQ'!B442)/'Market Data - EQ'!B442,LN('Market Data - EQ'!B441/'Market Data - EQ'!B442)))</f>
        <v>8.7423159023867318E-3</v>
      </c>
      <c r="H441" s="3">
        <f>IF('Value at Risk'!$C$5=0,'Market Data - EQ'!C441-'Market Data - EQ'!C442,IF('Value at Risk'!$C$6=0,('Market Data - EQ'!C441-'Market Data - EQ'!C442)/'Market Data - EQ'!C442,LN('Market Data - EQ'!C441/'Market Data - EQ'!C442)))</f>
        <v>-1.3032449548295598E-2</v>
      </c>
      <c r="I441" s="3">
        <f>IF('Value at Risk'!$C$5=0,'Market Data - EQ'!D441-'Market Data - EQ'!D442,IF('Value at Risk'!$C$6=0,('Market Data - EQ'!D441-'Market Data - EQ'!D442)/'Market Data - EQ'!D442,LN('Market Data - EQ'!D441/'Market Data - EQ'!D442)))</f>
        <v>-1.5030145990399353E-2</v>
      </c>
      <c r="J441" s="3">
        <f>IF('Value at Risk'!$C$5=0,'Market Data - EQ'!E441-'Market Data - EQ'!E442,IF('Value at Risk'!$C$6=0,('Market Data - EQ'!E441-'Market Data - EQ'!E442)/'Market Data - EQ'!E442,LN('Market Data - EQ'!E441/'Market Data - EQ'!E442)))</f>
        <v>4.846121162088983E-3</v>
      </c>
      <c r="K441" s="3">
        <f>IF('Value at Risk'!$C$5=0,'Market Data - EQ'!F441-'Market Data - EQ'!F442,IF('Value at Risk'!$C$6=0,('Market Data - EQ'!F441-'Market Data - EQ'!F442)/'Market Data - EQ'!F442,LN('Market Data - EQ'!F441/'Market Data - EQ'!F442)))</f>
        <v>-1.2123472366010749E-2</v>
      </c>
      <c r="L441" s="8">
        <f t="shared" si="6"/>
        <v>-5.319526168045997E-3</v>
      </c>
    </row>
    <row r="442" spans="1:12" x14ac:dyDescent="0.25">
      <c r="A442" s="5">
        <v>43173</v>
      </c>
      <c r="B442" s="4">
        <v>932.25</v>
      </c>
      <c r="C442" s="4">
        <v>257.04998799999998</v>
      </c>
      <c r="D442" s="4">
        <v>306.04998799999998</v>
      </c>
      <c r="E442" s="4">
        <v>1733.349976</v>
      </c>
      <c r="F442" s="4">
        <v>536.15002400000003</v>
      </c>
      <c r="G442" s="3">
        <f>IF('Value at Risk'!$C$5=0,'Market Data - EQ'!B442-'Market Data - EQ'!B443,IF('Value at Risk'!$C$6=0,('Market Data - EQ'!B442-'Market Data - EQ'!B443)/'Market Data - EQ'!B443,LN('Market Data - EQ'!B442/'Market Data - EQ'!B443)))</f>
        <v>2.2846391614030374E-3</v>
      </c>
      <c r="H442" s="3">
        <f>IF('Value at Risk'!$C$5=0,'Market Data - EQ'!C442-'Market Data - EQ'!C443,IF('Value at Risk'!$C$6=0,('Market Data - EQ'!C442-'Market Data - EQ'!C443)/'Market Data - EQ'!C443,LN('Market Data - EQ'!C442/'Market Data - EQ'!C443)))</f>
        <v>9.2265058016470589E-3</v>
      </c>
      <c r="I442" s="3">
        <f>IF('Value at Risk'!$C$5=0,'Market Data - EQ'!D442-'Market Data - EQ'!D443,IF('Value at Risk'!$C$6=0,('Market Data - EQ'!D442-'Market Data - EQ'!D443)/'Market Data - EQ'!D443,LN('Market Data - EQ'!D442/'Market Data - EQ'!D443)))</f>
        <v>5.5856151354896875E-3</v>
      </c>
      <c r="J442" s="3">
        <f>IF('Value at Risk'!$C$5=0,'Market Data - EQ'!E442-'Market Data - EQ'!E443,IF('Value at Risk'!$C$6=0,('Market Data - EQ'!E442-'Market Data - EQ'!E443)/'Market Data - EQ'!E443,LN('Market Data - EQ'!E442/'Market Data - EQ'!E443)))</f>
        <v>2.2260630239953568E-3</v>
      </c>
      <c r="K442" s="3">
        <f>IF('Value at Risk'!$C$5=0,'Market Data - EQ'!F442-'Market Data - EQ'!F443,IF('Value at Risk'!$C$6=0,('Market Data - EQ'!F442-'Market Data - EQ'!F443)/'Market Data - EQ'!F443,LN('Market Data - EQ'!F442/'Market Data - EQ'!F443)))</f>
        <v>8.7488692380057013E-3</v>
      </c>
      <c r="L442" s="8">
        <f t="shared" si="6"/>
        <v>5.6143384721081685E-3</v>
      </c>
    </row>
    <row r="443" spans="1:12" x14ac:dyDescent="0.25">
      <c r="A443" s="5">
        <v>43172</v>
      </c>
      <c r="B443" s="4">
        <v>930.125</v>
      </c>
      <c r="C443" s="4">
        <v>254.699997</v>
      </c>
      <c r="D443" s="4">
        <v>304.35000600000001</v>
      </c>
      <c r="E443" s="4">
        <v>1729.5</v>
      </c>
      <c r="F443" s="4">
        <v>531.5</v>
      </c>
      <c r="G443" s="3">
        <f>IF('Value at Risk'!$C$5=0,'Market Data - EQ'!B443-'Market Data - EQ'!B444,IF('Value at Risk'!$C$6=0,('Market Data - EQ'!B443-'Market Data - EQ'!B444)/'Market Data - EQ'!B444,LN('Market Data - EQ'!B443/'Market Data - EQ'!B444)))</f>
        <v>-3.7488284910965324E-3</v>
      </c>
      <c r="H443" s="3">
        <f>IF('Value at Risk'!$C$5=0,'Market Data - EQ'!C443-'Market Data - EQ'!C444,IF('Value at Risk'!$C$6=0,('Market Data - EQ'!C443-'Market Data - EQ'!C444)/'Market Data - EQ'!C444,LN('Market Data - EQ'!C443/'Market Data - EQ'!C444)))</f>
        <v>7.3165550963047573E-3</v>
      </c>
      <c r="I443" s="3">
        <f>IF('Value at Risk'!$C$5=0,'Market Data - EQ'!D443-'Market Data - EQ'!D444,IF('Value at Risk'!$C$6=0,('Market Data - EQ'!D443-'Market Data - EQ'!D444)/'Market Data - EQ'!D444,LN('Market Data - EQ'!D443/'Market Data - EQ'!D444)))</f>
        <v>1.2306709043207282E-2</v>
      </c>
      <c r="J443" s="3">
        <f>IF('Value at Risk'!$C$5=0,'Market Data - EQ'!E443-'Market Data - EQ'!E444,IF('Value at Risk'!$C$6=0,('Market Data - EQ'!E443-'Market Data - EQ'!E444)/'Market Data - EQ'!E444,LN('Market Data - EQ'!E443/'Market Data - EQ'!E444)))</f>
        <v>-3.3423896941294586E-3</v>
      </c>
      <c r="K443" s="3">
        <f>IF('Value at Risk'!$C$5=0,'Market Data - EQ'!F443-'Market Data - EQ'!F444,IF('Value at Risk'!$C$6=0,('Market Data - EQ'!F443-'Market Data - EQ'!F444)/'Market Data - EQ'!F444,LN('Market Data - EQ'!F443/'Market Data - EQ'!F444)))</f>
        <v>2.369026909806771E-2</v>
      </c>
      <c r="L443" s="8">
        <f t="shared" si="6"/>
        <v>7.2444630104707515E-3</v>
      </c>
    </row>
    <row r="444" spans="1:12" x14ac:dyDescent="0.25">
      <c r="A444" s="5">
        <v>43171</v>
      </c>
      <c r="B444" s="4">
        <v>933.625</v>
      </c>
      <c r="C444" s="4">
        <v>252.85000600000001</v>
      </c>
      <c r="D444" s="4">
        <v>300.64999399999999</v>
      </c>
      <c r="E444" s="4">
        <v>1735.3000489999999</v>
      </c>
      <c r="F444" s="4">
        <v>519.20001200000002</v>
      </c>
      <c r="G444" s="3">
        <f>IF('Value at Risk'!$C$5=0,'Market Data - EQ'!B444-'Market Data - EQ'!B445,IF('Value at Risk'!$C$6=0,('Market Data - EQ'!B444-'Market Data - EQ'!B445)/'Market Data - EQ'!B445,LN('Market Data - EQ'!B444/'Market Data - EQ'!B445)))</f>
        <v>8.7517633666920388E-3</v>
      </c>
      <c r="H444" s="3">
        <f>IF('Value at Risk'!$C$5=0,'Market Data - EQ'!C444-'Market Data - EQ'!C445,IF('Value at Risk'!$C$6=0,('Market Data - EQ'!C444-'Market Data - EQ'!C445)/'Market Data - EQ'!C445,LN('Market Data - EQ'!C444/'Market Data - EQ'!C445)))</f>
        <v>-1.5794432379071764E-3</v>
      </c>
      <c r="I444" s="3">
        <f>IF('Value at Risk'!$C$5=0,'Market Data - EQ'!D444-'Market Data - EQ'!D445,IF('Value at Risk'!$C$6=0,('Market Data - EQ'!D444-'Market Data - EQ'!D445)/'Market Data - EQ'!D445,LN('Market Data - EQ'!D444/'Market Data - EQ'!D445)))</f>
        <v>2.7160853003313088E-2</v>
      </c>
      <c r="J444" s="3">
        <f>IF('Value at Risk'!$C$5=0,'Market Data - EQ'!E444-'Market Data - EQ'!E445,IF('Value at Risk'!$C$6=0,('Market Data - EQ'!E444-'Market Data - EQ'!E445)/'Market Data - EQ'!E445,LN('Market Data - EQ'!E444/'Market Data - EQ'!E445)))</f>
        <v>2.2237930494148277E-2</v>
      </c>
      <c r="K444" s="3">
        <f>IF('Value at Risk'!$C$5=0,'Market Data - EQ'!F444-'Market Data - EQ'!F445,IF('Value at Risk'!$C$6=0,('Market Data - EQ'!F444-'Market Data - EQ'!F445)/'Market Data - EQ'!F445,LN('Market Data - EQ'!F444/'Market Data - EQ'!F445)))</f>
        <v>2.7406759346115465E-2</v>
      </c>
      <c r="L444" s="8">
        <f t="shared" si="6"/>
        <v>1.6795572594472341E-2</v>
      </c>
    </row>
    <row r="445" spans="1:12" x14ac:dyDescent="0.25">
      <c r="A445" s="5">
        <v>43168</v>
      </c>
      <c r="B445" s="4">
        <v>925.52502400000003</v>
      </c>
      <c r="C445" s="4">
        <v>253.25</v>
      </c>
      <c r="D445" s="4">
        <v>292.70001200000002</v>
      </c>
      <c r="E445" s="4">
        <v>1697.5500489999999</v>
      </c>
      <c r="F445" s="4">
        <v>505.35000600000001</v>
      </c>
      <c r="G445" s="3">
        <f>IF('Value at Risk'!$C$5=0,'Market Data - EQ'!B445-'Market Data - EQ'!B446,IF('Value at Risk'!$C$6=0,('Market Data - EQ'!B445-'Market Data - EQ'!B446)/'Market Data - EQ'!B446,LN('Market Data - EQ'!B445/'Market Data - EQ'!B446)))</f>
        <v>-9.7143752776231726E-4</v>
      </c>
      <c r="H445" s="3">
        <f>IF('Value at Risk'!$C$5=0,'Market Data - EQ'!C445-'Market Data - EQ'!C446,IF('Value at Risk'!$C$6=0,('Market Data - EQ'!C445-'Market Data - EQ'!C446)/'Market Data - EQ'!C446,LN('Market Data - EQ'!C445/'Market Data - EQ'!C446)))</f>
        <v>-1.3823941455947363E-2</v>
      </c>
      <c r="I445" s="3">
        <f>IF('Value at Risk'!$C$5=0,'Market Data - EQ'!D445-'Market Data - EQ'!D446,IF('Value at Risk'!$C$6=0,('Market Data - EQ'!D445-'Market Data - EQ'!D446)/'Market Data - EQ'!D446,LN('Market Data - EQ'!D445/'Market Data - EQ'!D446)))</f>
        <v>-1.4312173188260386E-2</v>
      </c>
      <c r="J445" s="3">
        <f>IF('Value at Risk'!$C$5=0,'Market Data - EQ'!E445-'Market Data - EQ'!E446,IF('Value at Risk'!$C$6=0,('Market Data - EQ'!E445-'Market Data - EQ'!E446)/'Market Data - EQ'!E446,LN('Market Data - EQ'!E445/'Market Data - EQ'!E446)))</f>
        <v>2.0069208463440744E-3</v>
      </c>
      <c r="K445" s="3">
        <f>IF('Value at Risk'!$C$5=0,'Market Data - EQ'!F445-'Market Data - EQ'!F446,IF('Value at Risk'!$C$6=0,('Market Data - EQ'!F445-'Market Data - EQ'!F446)/'Market Data - EQ'!F446,LN('Market Data - EQ'!F445/'Market Data - EQ'!F446)))</f>
        <v>-2.9199850831616921E-2</v>
      </c>
      <c r="L445" s="8">
        <f t="shared" si="6"/>
        <v>-1.1260096431448582E-2</v>
      </c>
    </row>
    <row r="446" spans="1:12" x14ac:dyDescent="0.25">
      <c r="A446" s="5">
        <v>43167</v>
      </c>
      <c r="B446" s="4">
        <v>926.42498799999998</v>
      </c>
      <c r="C446" s="4">
        <v>256.79998799999998</v>
      </c>
      <c r="D446" s="4">
        <v>296.95001200000002</v>
      </c>
      <c r="E446" s="4">
        <v>1694.150024</v>
      </c>
      <c r="F446" s="4">
        <v>520.54998799999998</v>
      </c>
      <c r="G446" s="3">
        <f>IF('Value at Risk'!$C$5=0,'Market Data - EQ'!B446-'Market Data - EQ'!B447,IF('Value at Risk'!$C$6=0,('Market Data - EQ'!B446-'Market Data - EQ'!B447)/'Market Data - EQ'!B447,LN('Market Data - EQ'!B446/'Market Data - EQ'!B447)))</f>
        <v>1.1049874639963436E-2</v>
      </c>
      <c r="H446" s="3">
        <f>IF('Value at Risk'!$C$5=0,'Market Data - EQ'!C446-'Market Data - EQ'!C447,IF('Value at Risk'!$C$6=0,('Market Data - EQ'!C446-'Market Data - EQ'!C447)/'Market Data - EQ'!C447,LN('Market Data - EQ'!C446/'Market Data - EQ'!C447)))</f>
        <v>4.1151405825698067E-2</v>
      </c>
      <c r="I446" s="3">
        <f>IF('Value at Risk'!$C$5=0,'Market Data - EQ'!D446-'Market Data - EQ'!D447,IF('Value at Risk'!$C$6=0,('Market Data - EQ'!D446-'Market Data - EQ'!D447)/'Market Data - EQ'!D447,LN('Market Data - EQ'!D446/'Market Data - EQ'!D447)))</f>
        <v>3.575165528768795E-2</v>
      </c>
      <c r="J446" s="3">
        <f>IF('Value at Risk'!$C$5=0,'Market Data - EQ'!E446-'Market Data - EQ'!E447,IF('Value at Risk'!$C$6=0,('Market Data - EQ'!E446-'Market Data - EQ'!E447)/'Market Data - EQ'!E447,LN('Market Data - EQ'!E446/'Market Data - EQ'!E447)))</f>
        <v>-5.9263464867243473E-3</v>
      </c>
      <c r="K446" s="3">
        <f>IF('Value at Risk'!$C$5=0,'Market Data - EQ'!F446-'Market Data - EQ'!F447,IF('Value at Risk'!$C$6=0,('Market Data - EQ'!F446-'Market Data - EQ'!F447)/'Market Data - EQ'!F447,LN('Market Data - EQ'!F446/'Market Data - EQ'!F447)))</f>
        <v>1.5410052921405801E-2</v>
      </c>
      <c r="L446" s="8">
        <f t="shared" si="6"/>
        <v>1.9487328437606179E-2</v>
      </c>
    </row>
    <row r="447" spans="1:12" x14ac:dyDescent="0.25">
      <c r="A447" s="5">
        <v>43166</v>
      </c>
      <c r="B447" s="4">
        <v>916.29998799999998</v>
      </c>
      <c r="C447" s="4">
        <v>246.64999399999999</v>
      </c>
      <c r="D447" s="4">
        <v>286.70001200000002</v>
      </c>
      <c r="E447" s="4">
        <v>1704.25</v>
      </c>
      <c r="F447" s="4">
        <v>512.65002400000003</v>
      </c>
      <c r="G447" s="3">
        <f>IF('Value at Risk'!$C$5=0,'Market Data - EQ'!B447-'Market Data - EQ'!B448,IF('Value at Risk'!$C$6=0,('Market Data - EQ'!B447-'Market Data - EQ'!B448)/'Market Data - EQ'!B448,LN('Market Data - EQ'!B447/'Market Data - EQ'!B448)))</f>
        <v>-7.3933779282329207E-3</v>
      </c>
      <c r="H447" s="3">
        <f>IF('Value at Risk'!$C$5=0,'Market Data - EQ'!C447-'Market Data - EQ'!C448,IF('Value at Risk'!$C$6=0,('Market Data - EQ'!C447-'Market Data - EQ'!C448)/'Market Data - EQ'!C448,LN('Market Data - EQ'!C447/'Market Data - EQ'!C448)))</f>
        <v>-3.8588947429613572E-2</v>
      </c>
      <c r="I447" s="3">
        <f>IF('Value at Risk'!$C$5=0,'Market Data - EQ'!D447-'Market Data - EQ'!D448,IF('Value at Risk'!$C$6=0,('Market Data - EQ'!D447-'Market Data - EQ'!D448)/'Market Data - EQ'!D448,LN('Market Data - EQ'!D447/'Market Data - EQ'!D448)))</f>
        <v>-2.8300207895619267E-2</v>
      </c>
      <c r="J447" s="3">
        <f>IF('Value at Risk'!$C$5=0,'Market Data - EQ'!E447-'Market Data - EQ'!E448,IF('Value at Risk'!$C$6=0,('Market Data - EQ'!E447-'Market Data - EQ'!E448)/'Market Data - EQ'!E448,LN('Market Data - EQ'!E447/'Market Data - EQ'!E448)))</f>
        <v>-3.5374196495739823E-3</v>
      </c>
      <c r="K447" s="3">
        <f>IF('Value at Risk'!$C$5=0,'Market Data - EQ'!F447-'Market Data - EQ'!F448,IF('Value at Risk'!$C$6=0,('Market Data - EQ'!F447-'Market Data - EQ'!F448)/'Market Data - EQ'!F448,LN('Market Data - EQ'!F447/'Market Data - EQ'!F448)))</f>
        <v>-9.0846665082283482E-3</v>
      </c>
      <c r="L447" s="8">
        <f t="shared" si="6"/>
        <v>-1.7380923882253617E-2</v>
      </c>
    </row>
    <row r="448" spans="1:12" x14ac:dyDescent="0.25">
      <c r="A448" s="5">
        <v>43165</v>
      </c>
      <c r="B448" s="4">
        <v>923.125</v>
      </c>
      <c r="C448" s="4">
        <v>256.54998799999998</v>
      </c>
      <c r="D448" s="4">
        <v>295.04998799999998</v>
      </c>
      <c r="E448" s="4">
        <v>1710.3000489999999</v>
      </c>
      <c r="F448" s="4">
        <v>517.34997599999997</v>
      </c>
      <c r="G448" s="3">
        <f>IF('Value at Risk'!$C$5=0,'Market Data - EQ'!B448-'Market Data - EQ'!B449,IF('Value at Risk'!$C$6=0,('Market Data - EQ'!B448-'Market Data - EQ'!B449)/'Market Data - EQ'!B449,LN('Market Data - EQ'!B448/'Market Data - EQ'!B449)))</f>
        <v>-1.2674110328274679E-2</v>
      </c>
      <c r="H448" s="3">
        <f>IF('Value at Risk'!$C$5=0,'Market Data - EQ'!C448-'Market Data - EQ'!C449,IF('Value at Risk'!$C$6=0,('Market Data - EQ'!C448-'Market Data - EQ'!C449)/'Market Data - EQ'!C449,LN('Market Data - EQ'!C448/'Market Data - EQ'!C449)))</f>
        <v>-2.6375757115749583E-2</v>
      </c>
      <c r="I448" s="3">
        <f>IF('Value at Risk'!$C$5=0,'Market Data - EQ'!D448-'Market Data - EQ'!D449,IF('Value at Risk'!$C$6=0,('Market Data - EQ'!D448-'Market Data - EQ'!D449)/'Market Data - EQ'!D449,LN('Market Data - EQ'!D448/'Market Data - EQ'!D449)))</f>
        <v>-2.7361192799844621E-2</v>
      </c>
      <c r="J448" s="3">
        <f>IF('Value at Risk'!$C$5=0,'Market Data - EQ'!E448-'Market Data - EQ'!E449,IF('Value at Risk'!$C$6=0,('Market Data - EQ'!E448-'Market Data - EQ'!E449)/'Market Data - EQ'!E449,LN('Market Data - EQ'!E448/'Market Data - EQ'!E449)))</f>
        <v>1.2491178434802056E-2</v>
      </c>
      <c r="K448" s="3">
        <f>IF('Value at Risk'!$C$5=0,'Market Data - EQ'!F448-'Market Data - EQ'!F449,IF('Value at Risk'!$C$6=0,('Market Data - EQ'!F448-'Market Data - EQ'!F449)/'Market Data - EQ'!F449,LN('Market Data - EQ'!F448/'Market Data - EQ'!F449)))</f>
        <v>-1.3726074091531607E-2</v>
      </c>
      <c r="L448" s="8">
        <f t="shared" si="6"/>
        <v>-1.3529191180119688E-2</v>
      </c>
    </row>
    <row r="449" spans="1:12" x14ac:dyDescent="0.25">
      <c r="A449" s="5">
        <v>43164</v>
      </c>
      <c r="B449" s="4">
        <v>934.97497599999997</v>
      </c>
      <c r="C449" s="4">
        <v>263.5</v>
      </c>
      <c r="D449" s="4">
        <v>303.35000600000001</v>
      </c>
      <c r="E449" s="4">
        <v>1689.1999510000001</v>
      </c>
      <c r="F449" s="4">
        <v>524.54998799999998</v>
      </c>
      <c r="G449" s="3">
        <f>IF('Value at Risk'!$C$5=0,'Market Data - EQ'!B449-'Market Data - EQ'!B450,IF('Value at Risk'!$C$6=0,('Market Data - EQ'!B449-'Market Data - EQ'!B450)/'Market Data - EQ'!B450,LN('Market Data - EQ'!B449/'Market Data - EQ'!B450)))</f>
        <v>-2.3474932943899855E-3</v>
      </c>
      <c r="H449" s="3">
        <f>IF('Value at Risk'!$C$5=0,'Market Data - EQ'!C449-'Market Data - EQ'!C450,IF('Value at Risk'!$C$6=0,('Market Data - EQ'!C449-'Market Data - EQ'!C450)/'Market Data - EQ'!C450,LN('Market Data - EQ'!C449/'Market Data - EQ'!C450)))</f>
        <v>5.1497464463035906E-3</v>
      </c>
      <c r="I449" s="3">
        <f>IF('Value at Risk'!$C$5=0,'Market Data - EQ'!D449-'Market Data - EQ'!D450,IF('Value at Risk'!$C$6=0,('Market Data - EQ'!D449-'Market Data - EQ'!D450)/'Market Data - EQ'!D450,LN('Market Data - EQ'!D449/'Market Data - EQ'!D450)))</f>
        <v>-5.2467812331157002E-3</v>
      </c>
      <c r="J449" s="3">
        <f>IF('Value at Risk'!$C$5=0,'Market Data - EQ'!E449-'Market Data - EQ'!E450,IF('Value at Risk'!$C$6=0,('Market Data - EQ'!E449-'Market Data - EQ'!E450)/'Market Data - EQ'!E450,LN('Market Data - EQ'!E449/'Market Data - EQ'!E450)))</f>
        <v>-6.5574882567586866E-3</v>
      </c>
      <c r="K449" s="3">
        <f>IF('Value at Risk'!$C$5=0,'Market Data - EQ'!F449-'Market Data - EQ'!F450,IF('Value at Risk'!$C$6=0,('Market Data - EQ'!F449-'Market Data - EQ'!F450)/'Market Data - EQ'!F450,LN('Market Data - EQ'!F449/'Market Data - EQ'!F450)))</f>
        <v>-2.2824764621968904E-3</v>
      </c>
      <c r="L449" s="8">
        <f t="shared" si="6"/>
        <v>-2.2568985600315344E-3</v>
      </c>
    </row>
    <row r="450" spans="1:12" x14ac:dyDescent="0.25">
      <c r="A450" s="5">
        <v>43160</v>
      </c>
      <c r="B450" s="4">
        <v>937.17498799999998</v>
      </c>
      <c r="C450" s="4">
        <v>262.14999399999999</v>
      </c>
      <c r="D450" s="4">
        <v>304.95001200000002</v>
      </c>
      <c r="E450" s="4">
        <v>1700.349976</v>
      </c>
      <c r="F450" s="4">
        <v>525.75</v>
      </c>
      <c r="G450" s="3">
        <f>IF('Value at Risk'!$C$5=0,'Market Data - EQ'!B450-'Market Data - EQ'!B451,IF('Value at Risk'!$C$6=0,('Market Data - EQ'!B450-'Market Data - EQ'!B451)/'Market Data - EQ'!B451,LN('Market Data - EQ'!B450/'Market Data - EQ'!B451)))</f>
        <v>-5.2276702318905322E-3</v>
      </c>
      <c r="H450" s="3">
        <f>IF('Value at Risk'!$C$5=0,'Market Data - EQ'!C450-'Market Data - EQ'!C451,IF('Value at Risk'!$C$6=0,('Market Data - EQ'!C450-'Market Data - EQ'!C451)/'Market Data - EQ'!C451,LN('Market Data - EQ'!C450/'Market Data - EQ'!C451)))</f>
        <v>-2.1828380597014953E-2</v>
      </c>
      <c r="I450" s="3">
        <f>IF('Value at Risk'!$C$5=0,'Market Data - EQ'!D450-'Market Data - EQ'!D451,IF('Value at Risk'!$C$6=0,('Market Data - EQ'!D450-'Market Data - EQ'!D451)/'Market Data - EQ'!D451,LN('Market Data - EQ'!D450/'Market Data - EQ'!D451)))</f>
        <v>-2.6496370311252945E-2</v>
      </c>
      <c r="J450" s="3">
        <f>IF('Value at Risk'!$C$5=0,'Market Data - EQ'!E450-'Market Data - EQ'!E451,IF('Value at Risk'!$C$6=0,('Market Data - EQ'!E450-'Market Data - EQ'!E451)/'Market Data - EQ'!E451,LN('Market Data - EQ'!E450/'Market Data - EQ'!E451)))</f>
        <v>1.1661446378104994E-2</v>
      </c>
      <c r="K450" s="3">
        <f>IF('Value at Risk'!$C$5=0,'Market Data - EQ'!F450-'Market Data - EQ'!F451,IF('Value at Risk'!$C$6=0,('Market Data - EQ'!F450-'Market Data - EQ'!F451)/'Market Data - EQ'!F451,LN('Market Data - EQ'!F450/'Market Data - EQ'!F451)))</f>
        <v>-5.6737588652482273E-3</v>
      </c>
      <c r="L450" s="8">
        <f t="shared" si="6"/>
        <v>-9.512946725460332E-3</v>
      </c>
    </row>
    <row r="451" spans="1:12" x14ac:dyDescent="0.25">
      <c r="A451" s="5">
        <v>43159</v>
      </c>
      <c r="B451" s="4">
        <v>942.09997599999997</v>
      </c>
      <c r="C451" s="4">
        <v>268</v>
      </c>
      <c r="D451" s="4">
        <v>313.25</v>
      </c>
      <c r="E451" s="4">
        <v>1680.75</v>
      </c>
      <c r="F451" s="4">
        <v>528.75</v>
      </c>
      <c r="G451" s="3">
        <f>IF('Value at Risk'!$C$5=0,'Market Data - EQ'!B451-'Market Data - EQ'!B452,IF('Value at Risk'!$C$6=0,('Market Data - EQ'!B451-'Market Data - EQ'!B452)/'Market Data - EQ'!B452,LN('Market Data - EQ'!B451/'Market Data - EQ'!B452)))</f>
        <v>-9.6450004136764342E-3</v>
      </c>
      <c r="H451" s="3">
        <f>IF('Value at Risk'!$C$5=0,'Market Data - EQ'!C451-'Market Data - EQ'!C452,IF('Value at Risk'!$C$6=0,('Market Data - EQ'!C451-'Market Data - EQ'!C452)/'Market Data - EQ'!C452,LN('Market Data - EQ'!C451/'Market Data - EQ'!C452)))</f>
        <v>1.4947458558726356E-3</v>
      </c>
      <c r="I451" s="3">
        <f>IF('Value at Risk'!$C$5=0,'Market Data - EQ'!D451-'Market Data - EQ'!D452,IF('Value at Risk'!$C$6=0,('Market Data - EQ'!D451-'Market Data - EQ'!D452)/'Market Data - EQ'!D452,LN('Market Data - EQ'!D451/'Market Data - EQ'!D452)))</f>
        <v>-2.762686377700194E-2</v>
      </c>
      <c r="J451" s="3">
        <f>IF('Value at Risk'!$C$5=0,'Market Data - EQ'!E451-'Market Data - EQ'!E452,IF('Value at Risk'!$C$6=0,('Market Data - EQ'!E451-'Market Data - EQ'!E452)/'Market Data - EQ'!E452,LN('Market Data - EQ'!E451/'Market Data - EQ'!E452)))</f>
        <v>-2.6406071263884432E-3</v>
      </c>
      <c r="K451" s="3">
        <f>IF('Value at Risk'!$C$5=0,'Market Data - EQ'!F451-'Market Data - EQ'!F452,IF('Value at Risk'!$C$6=0,('Market Data - EQ'!F451-'Market Data - EQ'!F452)/'Market Data - EQ'!F452,LN('Market Data - EQ'!F451/'Market Data - EQ'!F452)))</f>
        <v>-1.7923520746351285E-2</v>
      </c>
      <c r="L451" s="8">
        <f t="shared" si="6"/>
        <v>-1.1268249241509093E-2</v>
      </c>
    </row>
    <row r="452" spans="1:12" x14ac:dyDescent="0.25">
      <c r="A452" s="5">
        <v>43158</v>
      </c>
      <c r="B452" s="4">
        <v>951.27502400000003</v>
      </c>
      <c r="C452" s="4">
        <v>267.60000600000001</v>
      </c>
      <c r="D452" s="4">
        <v>322.14999399999999</v>
      </c>
      <c r="E452" s="4">
        <v>1685.1999510000001</v>
      </c>
      <c r="F452" s="4">
        <v>538.40002400000003</v>
      </c>
      <c r="G452" s="3">
        <f>IF('Value at Risk'!$C$5=0,'Market Data - EQ'!B452-'Market Data - EQ'!B453,IF('Value at Risk'!$C$6=0,('Market Data - EQ'!B452-'Market Data - EQ'!B453)/'Market Data - EQ'!B453,LN('Market Data - EQ'!B452/'Market Data - EQ'!B453)))</f>
        <v>-4.7082209589105143E-3</v>
      </c>
      <c r="H452" s="3">
        <f>IF('Value at Risk'!$C$5=0,'Market Data - EQ'!C452-'Market Data - EQ'!C453,IF('Value at Risk'!$C$6=0,('Market Data - EQ'!C452-'Market Data - EQ'!C453)/'Market Data - EQ'!C453,LN('Market Data - EQ'!C452/'Market Data - EQ'!C453)))</f>
        <v>-2.4959029697546552E-2</v>
      </c>
      <c r="I452" s="3">
        <f>IF('Value at Risk'!$C$5=0,'Market Data - EQ'!D452-'Market Data - EQ'!D453,IF('Value at Risk'!$C$6=0,('Market Data - EQ'!D452-'Market Data - EQ'!D453)/'Market Data - EQ'!D453,LN('Market Data - EQ'!D452/'Market Data - EQ'!D453)))</f>
        <v>-1.498240079433971E-2</v>
      </c>
      <c r="J452" s="3">
        <f>IF('Value at Risk'!$C$5=0,'Market Data - EQ'!E452-'Market Data - EQ'!E453,IF('Value at Risk'!$C$6=0,('Market Data - EQ'!E452-'Market Data - EQ'!E453)/'Market Data - EQ'!E453,LN('Market Data - EQ'!E452/'Market Data - EQ'!E453)))</f>
        <v>-3.6067509154313806E-3</v>
      </c>
      <c r="K452" s="3">
        <f>IF('Value at Risk'!$C$5=0,'Market Data - EQ'!F452-'Market Data - EQ'!F453,IF('Value at Risk'!$C$6=0,('Market Data - EQ'!F452-'Market Data - EQ'!F453)/'Market Data - EQ'!F453,LN('Market Data - EQ'!F452/'Market Data - EQ'!F453)))</f>
        <v>-2.5167416806099865E-2</v>
      </c>
      <c r="L452" s="8">
        <f t="shared" ref="L452:L515" si="7">AVERAGE(G452:K452)</f>
        <v>-1.4684763834465606E-2</v>
      </c>
    </row>
    <row r="453" spans="1:12" x14ac:dyDescent="0.25">
      <c r="A453" s="5">
        <v>43157</v>
      </c>
      <c r="B453" s="4">
        <v>955.77502400000003</v>
      </c>
      <c r="C453" s="4">
        <v>274.45001200000002</v>
      </c>
      <c r="D453" s="4">
        <v>327.04998799999998</v>
      </c>
      <c r="E453" s="4">
        <v>1691.3000489999999</v>
      </c>
      <c r="F453" s="4">
        <v>552.29998799999998</v>
      </c>
      <c r="G453" s="3">
        <f>IF('Value at Risk'!$C$5=0,'Market Data - EQ'!B453-'Market Data - EQ'!B454,IF('Value at Risk'!$C$6=0,('Market Data - EQ'!B453-'Market Data - EQ'!B454)/'Market Data - EQ'!B454,LN('Market Data - EQ'!B453/'Market Data - EQ'!B454)))</f>
        <v>1.648453867684568E-2</v>
      </c>
      <c r="H453" s="3">
        <f>IF('Value at Risk'!$C$5=0,'Market Data - EQ'!C453-'Market Data - EQ'!C454,IF('Value at Risk'!$C$6=0,('Market Data - EQ'!C453-'Market Data - EQ'!C454)/'Market Data - EQ'!C454,LN('Market Data - EQ'!C453/'Market Data - EQ'!C454)))</f>
        <v>-5.7959647511376441E-3</v>
      </c>
      <c r="I453" s="3">
        <f>IF('Value at Risk'!$C$5=0,'Market Data - EQ'!D453-'Market Data - EQ'!D454,IF('Value at Risk'!$C$6=0,('Market Data - EQ'!D453-'Market Data - EQ'!D454)/'Market Data - EQ'!D454,LN('Market Data - EQ'!D453/'Market Data - EQ'!D454)))</f>
        <v>1.3322968241673075E-2</v>
      </c>
      <c r="J453" s="3">
        <f>IF('Value at Risk'!$C$5=0,'Market Data - EQ'!E453-'Market Data - EQ'!E454,IF('Value at Risk'!$C$6=0,('Market Data - EQ'!E453-'Market Data - EQ'!E454)/'Market Data - EQ'!E454,LN('Market Data - EQ'!E453/'Market Data - EQ'!E454)))</f>
        <v>2.9084301186492207E-2</v>
      </c>
      <c r="K453" s="3">
        <f>IF('Value at Risk'!$C$5=0,'Market Data - EQ'!F453-'Market Data - EQ'!F454,IF('Value at Risk'!$C$6=0,('Market Data - EQ'!F453-'Market Data - EQ'!F454)/'Market Data - EQ'!F454,LN('Market Data - EQ'!F453/'Market Data - EQ'!F454)))</f>
        <v>2.9162327960689616E-2</v>
      </c>
      <c r="L453" s="8">
        <f t="shared" si="7"/>
        <v>1.6451634262912587E-2</v>
      </c>
    </row>
    <row r="454" spans="1:12" x14ac:dyDescent="0.25">
      <c r="A454" s="5">
        <v>43154</v>
      </c>
      <c r="B454" s="4">
        <v>940.27502400000003</v>
      </c>
      <c r="C454" s="4">
        <v>276.04998799999998</v>
      </c>
      <c r="D454" s="4">
        <v>322.75</v>
      </c>
      <c r="E454" s="4">
        <v>1643.5</v>
      </c>
      <c r="F454" s="4">
        <v>536.65002400000003</v>
      </c>
      <c r="G454" s="3">
        <f>IF('Value at Risk'!$C$5=0,'Market Data - EQ'!B454-'Market Data - EQ'!B455,IF('Value at Risk'!$C$6=0,('Market Data - EQ'!B454-'Market Data - EQ'!B455)/'Market Data - EQ'!B455,LN('Market Data - EQ'!B454/'Market Data - EQ'!B455)))</f>
        <v>1.4758308174184607E-2</v>
      </c>
      <c r="H454" s="3">
        <f>IF('Value at Risk'!$C$5=0,'Market Data - EQ'!C454-'Market Data - EQ'!C455,IF('Value at Risk'!$C$6=0,('Market Data - EQ'!C454-'Market Data - EQ'!C455)/'Market Data - EQ'!C455,LN('Market Data - EQ'!C454/'Market Data - EQ'!C455)))</f>
        <v>1.2655839780135503E-2</v>
      </c>
      <c r="I454" s="3">
        <f>IF('Value at Risk'!$C$5=0,'Market Data - EQ'!D454-'Market Data - EQ'!D455,IF('Value at Risk'!$C$6=0,('Market Data - EQ'!D454-'Market Data - EQ'!D455)/'Market Data - EQ'!D455,LN('Market Data - EQ'!D454/'Market Data - EQ'!D455)))</f>
        <v>1.3821246794636442E-2</v>
      </c>
      <c r="J454" s="3">
        <f>IF('Value at Risk'!$C$5=0,'Market Data - EQ'!E454-'Market Data - EQ'!E455,IF('Value at Risk'!$C$6=0,('Market Data - EQ'!E454-'Market Data - EQ'!E455)/'Market Data - EQ'!E455,LN('Market Data - EQ'!E454/'Market Data - EQ'!E455)))</f>
        <v>1.2319063751154912E-2</v>
      </c>
      <c r="K454" s="3">
        <f>IF('Value at Risk'!$C$5=0,'Market Data - EQ'!F454-'Market Data - EQ'!F455,IF('Value at Risk'!$C$6=0,('Market Data - EQ'!F454-'Market Data - EQ'!F455)/'Market Data - EQ'!F455,LN('Market Data - EQ'!F454/'Market Data - EQ'!F455)))</f>
        <v>1.2069823668081152E-2</v>
      </c>
      <c r="L454" s="8">
        <f t="shared" si="7"/>
        <v>1.3124856433638523E-2</v>
      </c>
    </row>
    <row r="455" spans="1:12" x14ac:dyDescent="0.25">
      <c r="A455" s="5">
        <v>43153</v>
      </c>
      <c r="B455" s="4">
        <v>926.59997599999997</v>
      </c>
      <c r="C455" s="4">
        <v>272.60000600000001</v>
      </c>
      <c r="D455" s="4">
        <v>318.35000600000001</v>
      </c>
      <c r="E455" s="4">
        <v>1623.5</v>
      </c>
      <c r="F455" s="4">
        <v>530.25</v>
      </c>
      <c r="G455" s="3">
        <f>IF('Value at Risk'!$C$5=0,'Market Data - EQ'!B455-'Market Data - EQ'!B456,IF('Value at Risk'!$C$6=0,('Market Data - EQ'!B455-'Market Data - EQ'!B456)/'Market Data - EQ'!B456,LN('Market Data - EQ'!B455/'Market Data - EQ'!B456)))</f>
        <v>-2.2612641034401595E-3</v>
      </c>
      <c r="H455" s="3">
        <f>IF('Value at Risk'!$C$5=0,'Market Data - EQ'!C455-'Market Data - EQ'!C456,IF('Value at Risk'!$C$6=0,('Market Data - EQ'!C455-'Market Data - EQ'!C456)/'Market Data - EQ'!C456,LN('Market Data - EQ'!C455/'Market Data - EQ'!C456)))</f>
        <v>-2.5612222127136619E-3</v>
      </c>
      <c r="I455" s="3">
        <f>IF('Value at Risk'!$C$5=0,'Market Data - EQ'!D455-'Market Data - EQ'!D456,IF('Value at Risk'!$C$6=0,('Market Data - EQ'!D455-'Market Data - EQ'!D456)/'Market Data - EQ'!D456,LN('Market Data - EQ'!D455/'Market Data - EQ'!D456)))</f>
        <v>-2.6629259650529321E-3</v>
      </c>
      <c r="J455" s="3">
        <f>IF('Value at Risk'!$C$5=0,'Market Data - EQ'!E455-'Market Data - EQ'!E456,IF('Value at Risk'!$C$6=0,('Market Data - EQ'!E455-'Market Data - EQ'!E456)/'Market Data - EQ'!E456,LN('Market Data - EQ'!E455/'Market Data - EQ'!E456)))</f>
        <v>1.8347185196801005E-2</v>
      </c>
      <c r="K455" s="3">
        <f>IF('Value at Risk'!$C$5=0,'Market Data - EQ'!F455-'Market Data - EQ'!F456,IF('Value at Risk'!$C$6=0,('Market Data - EQ'!F455-'Market Data - EQ'!F456)/'Market Data - EQ'!F456,LN('Market Data - EQ'!F455/'Market Data - EQ'!F456)))</f>
        <v>-1.0358320500746232E-2</v>
      </c>
      <c r="L455" s="8">
        <f t="shared" si="7"/>
        <v>1.0069048296960405E-4</v>
      </c>
    </row>
    <row r="456" spans="1:12" x14ac:dyDescent="0.25">
      <c r="A456" s="5">
        <v>43152</v>
      </c>
      <c r="B456" s="4">
        <v>928.70001200000002</v>
      </c>
      <c r="C456" s="4">
        <v>273.29998799999998</v>
      </c>
      <c r="D456" s="4">
        <v>319.20001200000002</v>
      </c>
      <c r="E456" s="4">
        <v>1594.25</v>
      </c>
      <c r="F456" s="4">
        <v>535.79998799999998</v>
      </c>
      <c r="G456" s="3">
        <f>IF('Value at Risk'!$C$5=0,'Market Data - EQ'!B456-'Market Data - EQ'!B457,IF('Value at Risk'!$C$6=0,('Market Data - EQ'!B456-'Market Data - EQ'!B457)/'Market Data - EQ'!B457,LN('Market Data - EQ'!B456/'Market Data - EQ'!B457)))</f>
        <v>-3.1128854387174809E-3</v>
      </c>
      <c r="H456" s="3">
        <f>IF('Value at Risk'!$C$5=0,'Market Data - EQ'!C456-'Market Data - EQ'!C457,IF('Value at Risk'!$C$6=0,('Market Data - EQ'!C456-'Market Data - EQ'!C457)/'Market Data - EQ'!C457,LN('Market Data - EQ'!C456/'Market Data - EQ'!C457)))</f>
        <v>1.3536043319919349E-2</v>
      </c>
      <c r="I456" s="3">
        <f>IF('Value at Risk'!$C$5=0,'Market Data - EQ'!D456-'Market Data - EQ'!D457,IF('Value at Risk'!$C$6=0,('Market Data - EQ'!D456-'Market Data - EQ'!D457)/'Market Data - EQ'!D457,LN('Market Data - EQ'!D456/'Market Data - EQ'!D457)))</f>
        <v>6.1466099290780618E-3</v>
      </c>
      <c r="J456" s="3">
        <f>IF('Value at Risk'!$C$5=0,'Market Data - EQ'!E456-'Market Data - EQ'!E457,IF('Value at Risk'!$C$6=0,('Market Data - EQ'!E456-'Market Data - EQ'!E457)/'Market Data - EQ'!E457,LN('Market Data - EQ'!E456/'Market Data - EQ'!E457)))</f>
        <v>-1.7532477881981555E-2</v>
      </c>
      <c r="K456" s="3">
        <f>IF('Value at Risk'!$C$5=0,'Market Data - EQ'!F456-'Market Data - EQ'!F457,IF('Value at Risk'!$C$6=0,('Market Data - EQ'!F456-'Market Data - EQ'!F457)/'Market Data - EQ'!F457,LN('Market Data - EQ'!F456/'Market Data - EQ'!F457)))</f>
        <v>7.7110699783094414E-3</v>
      </c>
      <c r="L456" s="8">
        <f t="shared" si="7"/>
        <v>1.3496719813215631E-3</v>
      </c>
    </row>
    <row r="457" spans="1:12" x14ac:dyDescent="0.25">
      <c r="A457" s="5">
        <v>43151</v>
      </c>
      <c r="B457" s="4">
        <v>931.59997599999997</v>
      </c>
      <c r="C457" s="4">
        <v>269.64999399999999</v>
      </c>
      <c r="D457" s="4">
        <v>317.25</v>
      </c>
      <c r="E457" s="4">
        <v>1622.6999510000001</v>
      </c>
      <c r="F457" s="4">
        <v>531.70001200000002</v>
      </c>
      <c r="G457" s="3">
        <f>IF('Value at Risk'!$C$5=0,'Market Data - EQ'!B457-'Market Data - EQ'!B458,IF('Value at Risk'!$C$6=0,('Market Data - EQ'!B457-'Market Data - EQ'!B458)/'Market Data - EQ'!B458,LN('Market Data - EQ'!B457/'Market Data - EQ'!B458)))</f>
        <v>-7.9863701327578356E-3</v>
      </c>
      <c r="H457" s="3">
        <f>IF('Value at Risk'!$C$5=0,'Market Data - EQ'!C457-'Market Data - EQ'!C458,IF('Value at Risk'!$C$6=0,('Market Data - EQ'!C457-'Market Data - EQ'!C458)/'Market Data - EQ'!C458,LN('Market Data - EQ'!C457/'Market Data - EQ'!C458)))</f>
        <v>4.2830316573556513E-3</v>
      </c>
      <c r="I457" s="3">
        <f>IF('Value at Risk'!$C$5=0,'Market Data - EQ'!D457-'Market Data - EQ'!D458,IF('Value at Risk'!$C$6=0,('Market Data - EQ'!D457-'Market Data - EQ'!D458)/'Market Data - EQ'!D458,LN('Market Data - EQ'!D457/'Market Data - EQ'!D458)))</f>
        <v>-7.8186082877247844E-3</v>
      </c>
      <c r="J457" s="3">
        <f>IF('Value at Risk'!$C$5=0,'Market Data - EQ'!E457-'Market Data - EQ'!E458,IF('Value at Risk'!$C$6=0,('Market Data - EQ'!E457-'Market Data - EQ'!E458)/'Market Data - EQ'!E458,LN('Market Data - EQ'!E457/'Market Data - EQ'!E458)))</f>
        <v>-4.7532891121538018E-3</v>
      </c>
      <c r="K457" s="3">
        <f>IF('Value at Risk'!$C$5=0,'Market Data - EQ'!F457-'Market Data - EQ'!F458,IF('Value at Risk'!$C$6=0,('Market Data - EQ'!F457-'Market Data - EQ'!F458)/'Market Data - EQ'!F458,LN('Market Data - EQ'!F457/'Market Data - EQ'!F458)))</f>
        <v>-1.6372169450496722E-2</v>
      </c>
      <c r="L457" s="8">
        <f t="shared" si="7"/>
        <v>-6.5294810651554984E-3</v>
      </c>
    </row>
    <row r="458" spans="1:12" x14ac:dyDescent="0.25">
      <c r="A458" s="5">
        <v>43150</v>
      </c>
      <c r="B458" s="4">
        <v>939.09997599999997</v>
      </c>
      <c r="C458" s="4">
        <v>268.5</v>
      </c>
      <c r="D458" s="4">
        <v>319.75</v>
      </c>
      <c r="E458" s="4">
        <v>1630.4499510000001</v>
      </c>
      <c r="F458" s="4">
        <v>540.54998799999998</v>
      </c>
      <c r="G458" s="3">
        <f>IF('Value at Risk'!$C$5=0,'Market Data - EQ'!B458-'Market Data - EQ'!B459,IF('Value at Risk'!$C$6=0,('Market Data - EQ'!B458-'Market Data - EQ'!B459)/'Market Data - EQ'!B459,LN('Market Data - EQ'!B458/'Market Data - EQ'!B459)))</f>
        <v>-2.1293729644976338E-4</v>
      </c>
      <c r="H458" s="3">
        <f>IF('Value at Risk'!$C$5=0,'Market Data - EQ'!C458-'Market Data - EQ'!C459,IF('Value at Risk'!$C$6=0,('Market Data - EQ'!C458-'Market Data - EQ'!C459)/'Market Data - EQ'!C459,LN('Market Data - EQ'!C458/'Market Data - EQ'!C459)))</f>
        <v>-1.1595781592397136E-2</v>
      </c>
      <c r="I458" s="3">
        <f>IF('Value at Risk'!$C$5=0,'Market Data - EQ'!D458-'Market Data - EQ'!D459,IF('Value at Risk'!$C$6=0,('Market Data - EQ'!D458-'Market Data - EQ'!D459)/'Market Data - EQ'!D459,LN('Market Data - EQ'!D458/'Market Data - EQ'!D459)))</f>
        <v>-4.0491762921354944E-3</v>
      </c>
      <c r="J458" s="3">
        <f>IF('Value at Risk'!$C$5=0,'Market Data - EQ'!E458-'Market Data - EQ'!E459,IF('Value at Risk'!$C$6=0,('Market Data - EQ'!E458-'Market Data - EQ'!E459)/'Market Data - EQ'!E459,LN('Market Data - EQ'!E458/'Market Data - EQ'!E459)))</f>
        <v>-1.7149962377720703E-2</v>
      </c>
      <c r="K458" s="3">
        <f>IF('Value at Risk'!$C$5=0,'Market Data - EQ'!F458-'Market Data - EQ'!F459,IF('Value at Risk'!$C$6=0,('Market Data - EQ'!F458-'Market Data - EQ'!F459)/'Market Data - EQ'!F459,LN('Market Data - EQ'!F458/'Market Data - EQ'!F459)))</f>
        <v>5.0200095202756227E-3</v>
      </c>
      <c r="L458" s="8">
        <f t="shared" si="7"/>
        <v>-5.597569607685495E-3</v>
      </c>
    </row>
    <row r="459" spans="1:12" x14ac:dyDescent="0.25">
      <c r="A459" s="5">
        <v>43147</v>
      </c>
      <c r="B459" s="4">
        <v>939.29998799999998</v>
      </c>
      <c r="C459" s="4">
        <v>271.64999399999999</v>
      </c>
      <c r="D459" s="4">
        <v>321.04998799999998</v>
      </c>
      <c r="E459" s="4">
        <v>1658.900024</v>
      </c>
      <c r="F459" s="4">
        <v>537.84997599999997</v>
      </c>
      <c r="G459" s="3">
        <f>IF('Value at Risk'!$C$5=0,'Market Data - EQ'!B459-'Market Data - EQ'!B460,IF('Value at Risk'!$C$6=0,('Market Data - EQ'!B459-'Market Data - EQ'!B460)/'Market Data - EQ'!B460,LN('Market Data - EQ'!B459/'Market Data - EQ'!B460)))</f>
        <v>-1.7535724310081952E-3</v>
      </c>
      <c r="H459" s="3">
        <f>IF('Value at Risk'!$C$5=0,'Market Data - EQ'!C459-'Market Data - EQ'!C460,IF('Value at Risk'!$C$6=0,('Market Data - EQ'!C459-'Market Data - EQ'!C460)/'Market Data - EQ'!C460,LN('Market Data - EQ'!C459/'Market Data - EQ'!C460)))</f>
        <v>-2.5296080719221577E-2</v>
      </c>
      <c r="I459" s="3">
        <f>IF('Value at Risk'!$C$5=0,'Market Data - EQ'!D459-'Market Data - EQ'!D460,IF('Value at Risk'!$C$6=0,('Market Data - EQ'!D459-'Market Data - EQ'!D460)/'Market Data - EQ'!D460,LN('Market Data - EQ'!D459/'Market Data - EQ'!D460)))</f>
        <v>-2.3124923592726453E-2</v>
      </c>
      <c r="J459" s="3">
        <f>IF('Value at Risk'!$C$5=0,'Market Data - EQ'!E459-'Market Data - EQ'!E460,IF('Value at Risk'!$C$6=0,('Market Data - EQ'!E459-'Market Data - EQ'!E460)/'Market Data - EQ'!E460,LN('Market Data - EQ'!E459/'Market Data - EQ'!E460)))</f>
        <v>-1.6161076779725503E-2</v>
      </c>
      <c r="K459" s="3">
        <f>IF('Value at Risk'!$C$5=0,'Market Data - EQ'!F459-'Market Data - EQ'!F460,IF('Value at Risk'!$C$6=0,('Market Data - EQ'!F459-'Market Data - EQ'!F460)/'Market Data - EQ'!F460,LN('Market Data - EQ'!F459/'Market Data - EQ'!F460)))</f>
        <v>-1.075967605459616E-2</v>
      </c>
      <c r="L459" s="8">
        <f t="shared" si="7"/>
        <v>-1.5419065915455577E-2</v>
      </c>
    </row>
    <row r="460" spans="1:12" x14ac:dyDescent="0.25">
      <c r="A460" s="5">
        <v>43146</v>
      </c>
      <c r="B460" s="4">
        <v>940.95001200000002</v>
      </c>
      <c r="C460" s="4">
        <v>278.70001200000002</v>
      </c>
      <c r="D460" s="4">
        <v>328.64999399999999</v>
      </c>
      <c r="E460" s="4">
        <v>1686.150024</v>
      </c>
      <c r="F460" s="4">
        <v>543.70001200000002</v>
      </c>
      <c r="G460" s="3">
        <f>IF('Value at Risk'!$C$5=0,'Market Data - EQ'!B460-'Market Data - EQ'!B461,IF('Value at Risk'!$C$6=0,('Market Data - EQ'!B460-'Market Data - EQ'!B461)/'Market Data - EQ'!B461,LN('Market Data - EQ'!B460/'Market Data - EQ'!B461)))</f>
        <v>-6.6378142159108193E-4</v>
      </c>
      <c r="H460" s="3">
        <f>IF('Value at Risk'!$C$5=0,'Market Data - EQ'!C460-'Market Data - EQ'!C461,IF('Value at Risk'!$C$6=0,('Market Data - EQ'!C460-'Market Data - EQ'!C461)/'Market Data - EQ'!C461,LN('Market Data - EQ'!C460/'Market Data - EQ'!C461)))</f>
        <v>9.0514116270204933E-3</v>
      </c>
      <c r="I460" s="3">
        <f>IF('Value at Risk'!$C$5=0,'Market Data - EQ'!D460-'Market Data - EQ'!D461,IF('Value at Risk'!$C$6=0,('Market Data - EQ'!D460-'Market Data - EQ'!D461)/'Market Data - EQ'!D461,LN('Market Data - EQ'!D460/'Market Data - EQ'!D461)))</f>
        <v>3.0412232748246382E-2</v>
      </c>
      <c r="J460" s="3">
        <f>IF('Value at Risk'!$C$5=0,'Market Data - EQ'!E460-'Market Data - EQ'!E461,IF('Value at Risk'!$C$6=0,('Market Data - EQ'!E460-'Market Data - EQ'!E461)/'Market Data - EQ'!E461,LN('Market Data - EQ'!E460/'Market Data - EQ'!E461)))</f>
        <v>-4.8983016554143268E-3</v>
      </c>
      <c r="K460" s="3">
        <f>IF('Value at Risk'!$C$5=0,'Market Data - EQ'!F460-'Market Data - EQ'!F461,IF('Value at Risk'!$C$6=0,('Market Data - EQ'!F460-'Market Data - EQ'!F461)/'Market Data - EQ'!F461,LN('Market Data - EQ'!F460/'Market Data - EQ'!F461)))</f>
        <v>-3.6773670008151199E-4</v>
      </c>
      <c r="L460" s="8">
        <f t="shared" si="7"/>
        <v>6.7067649196359911E-3</v>
      </c>
    </row>
    <row r="461" spans="1:12" x14ac:dyDescent="0.25">
      <c r="A461" s="5">
        <v>43145</v>
      </c>
      <c r="B461" s="4">
        <v>941.57501200000002</v>
      </c>
      <c r="C461" s="4">
        <v>276.20001200000002</v>
      </c>
      <c r="D461" s="4">
        <v>318.95001200000002</v>
      </c>
      <c r="E461" s="4">
        <v>1694.4499510000001</v>
      </c>
      <c r="F461" s="4">
        <v>543.90002400000003</v>
      </c>
      <c r="G461" s="3">
        <f>IF('Value at Risk'!$C$5=0,'Market Data - EQ'!B461-'Market Data - EQ'!B462,IF('Value at Risk'!$C$6=0,('Market Data - EQ'!B461-'Market Data - EQ'!B462)/'Market Data - EQ'!B462,LN('Market Data - EQ'!B461/'Market Data - EQ'!B462)))</f>
        <v>3.4636186379309688E-3</v>
      </c>
      <c r="H461" s="3">
        <f>IF('Value at Risk'!$C$5=0,'Market Data - EQ'!C461-'Market Data - EQ'!C462,IF('Value at Risk'!$C$6=0,('Market Data - EQ'!C461-'Market Data - EQ'!C462)/'Market Data - EQ'!C462,LN('Market Data - EQ'!C461/'Market Data - EQ'!C462)))</f>
        <v>-4.3463161904761849E-2</v>
      </c>
      <c r="I461" s="3">
        <f>IF('Value at Risk'!$C$5=0,'Market Data - EQ'!D461-'Market Data - EQ'!D462,IF('Value at Risk'!$C$6=0,('Market Data - EQ'!D461-'Market Data - EQ'!D462)/'Market Data - EQ'!D462,LN('Market Data - EQ'!D461/'Market Data - EQ'!D462)))</f>
        <v>-2.2375442145593824E-2</v>
      </c>
      <c r="J461" s="3">
        <f>IF('Value at Risk'!$C$5=0,'Market Data - EQ'!E461-'Market Data - EQ'!E462,IF('Value at Risk'!$C$6=0,('Market Data - EQ'!E461-'Market Data - EQ'!E462)/'Market Data - EQ'!E462,LN('Market Data - EQ'!E461/'Market Data - EQ'!E462)))</f>
        <v>3.9399821109971488E-3</v>
      </c>
      <c r="K461" s="3">
        <f>IF('Value at Risk'!$C$5=0,'Market Data - EQ'!F461-'Market Data - EQ'!F462,IF('Value at Risk'!$C$6=0,('Market Data - EQ'!F461-'Market Data - EQ'!F462)/'Market Data - EQ'!F462,LN('Market Data - EQ'!F461/'Market Data - EQ'!F462)))</f>
        <v>-3.5980126849057888E-2</v>
      </c>
      <c r="L461" s="8">
        <f t="shared" si="7"/>
        <v>-1.8883026030097089E-2</v>
      </c>
    </row>
    <row r="462" spans="1:12" x14ac:dyDescent="0.25">
      <c r="A462" s="5">
        <v>43143</v>
      </c>
      <c r="B462" s="4">
        <v>938.32501200000002</v>
      </c>
      <c r="C462" s="4">
        <v>288.75</v>
      </c>
      <c r="D462" s="4">
        <v>326.25</v>
      </c>
      <c r="E462" s="4">
        <v>1687.8000489999999</v>
      </c>
      <c r="F462" s="4">
        <v>564.20001200000002</v>
      </c>
      <c r="G462" s="3">
        <f>IF('Value at Risk'!$C$5=0,'Market Data - EQ'!B462-'Market Data - EQ'!B463,IF('Value at Risk'!$C$6=0,('Market Data - EQ'!B462-'Market Data - EQ'!B463)/'Market Data - EQ'!B463,LN('Market Data - EQ'!B462/'Market Data - EQ'!B463)))</f>
        <v>1.4679656123276577E-2</v>
      </c>
      <c r="H462" s="3">
        <f>IF('Value at Risk'!$C$5=0,'Market Data - EQ'!C462-'Market Data - EQ'!C463,IF('Value at Risk'!$C$6=0,('Market Data - EQ'!C462-'Market Data - EQ'!C463)/'Market Data - EQ'!C463,LN('Market Data - EQ'!C462/'Market Data - EQ'!C463)))</f>
        <v>-2.580969687873878E-2</v>
      </c>
      <c r="I462" s="3">
        <f>IF('Value at Risk'!$C$5=0,'Market Data - EQ'!D462-'Market Data - EQ'!D463,IF('Value at Risk'!$C$6=0,('Market Data - EQ'!D462-'Market Data - EQ'!D463)/'Market Data - EQ'!D463,LN('Market Data - EQ'!D462/'Market Data - EQ'!D463)))</f>
        <v>-1.530221882172915E-3</v>
      </c>
      <c r="J462" s="3">
        <f>IF('Value at Risk'!$C$5=0,'Market Data - EQ'!E462-'Market Data - EQ'!E463,IF('Value at Risk'!$C$6=0,('Market Data - EQ'!E462-'Market Data - EQ'!E463)/'Market Data - EQ'!E463,LN('Market Data - EQ'!E462/'Market Data - EQ'!E463)))</f>
        <v>2.3002135680244406E-2</v>
      </c>
      <c r="K462" s="3">
        <f>IF('Value at Risk'!$C$5=0,'Market Data - EQ'!F462-'Market Data - EQ'!F463,IF('Value at Risk'!$C$6=0,('Market Data - EQ'!F462-'Market Data - EQ'!F463)/'Market Data - EQ'!F463,LN('Market Data - EQ'!F462/'Market Data - EQ'!F463)))</f>
        <v>1.1927224720880149E-2</v>
      </c>
      <c r="L462" s="8">
        <f t="shared" si="7"/>
        <v>4.4538195526978878E-3</v>
      </c>
    </row>
    <row r="463" spans="1:12" x14ac:dyDescent="0.25">
      <c r="A463" s="5">
        <v>43140</v>
      </c>
      <c r="B463" s="4">
        <v>924.75</v>
      </c>
      <c r="C463" s="4">
        <v>296.39999399999999</v>
      </c>
      <c r="D463" s="4">
        <v>326.75</v>
      </c>
      <c r="E463" s="4">
        <v>1649.849976</v>
      </c>
      <c r="F463" s="4">
        <v>557.54998799999998</v>
      </c>
      <c r="G463" s="3">
        <f>IF('Value at Risk'!$C$5=0,'Market Data - EQ'!B463-'Market Data - EQ'!B464,IF('Value at Risk'!$C$6=0,('Market Data - EQ'!B463-'Market Data - EQ'!B464)/'Market Data - EQ'!B464,LN('Market Data - EQ'!B463/'Market Data - EQ'!B464)))</f>
        <v>-1.6720249237125871E-2</v>
      </c>
      <c r="H463" s="3">
        <f>IF('Value at Risk'!$C$5=0,'Market Data - EQ'!C463-'Market Data - EQ'!C464,IF('Value at Risk'!$C$6=0,('Market Data - EQ'!C463-'Market Data - EQ'!C464)/'Market Data - EQ'!C464,LN('Market Data - EQ'!C463/'Market Data - EQ'!C464)))</f>
        <v>-1.6589250496136375E-2</v>
      </c>
      <c r="I463" s="3">
        <f>IF('Value at Risk'!$C$5=0,'Market Data - EQ'!D463-'Market Data - EQ'!D464,IF('Value at Risk'!$C$6=0,('Market Data - EQ'!D463-'Market Data - EQ'!D464)/'Market Data - EQ'!D464,LN('Market Data - EQ'!D463/'Market Data - EQ'!D464)))</f>
        <v>-2.1267053683982882E-2</v>
      </c>
      <c r="J463" s="3">
        <f>IF('Value at Risk'!$C$5=0,'Market Data - EQ'!E463-'Market Data - EQ'!E464,IF('Value at Risk'!$C$6=0,('Market Data - EQ'!E463-'Market Data - EQ'!E464)/'Market Data - EQ'!E464,LN('Market Data - EQ'!E463/'Market Data - EQ'!E464)))</f>
        <v>-1.2568453363044487E-2</v>
      </c>
      <c r="K463" s="3">
        <f>IF('Value at Risk'!$C$5=0,'Market Data - EQ'!F463-'Market Data - EQ'!F464,IF('Value at Risk'!$C$6=0,('Market Data - EQ'!F463-'Market Data - EQ'!F464)/'Market Data - EQ'!F464,LN('Market Data - EQ'!F463/'Market Data - EQ'!F464)))</f>
        <v>-1.9174991239159354E-2</v>
      </c>
      <c r="L463" s="8">
        <f t="shared" si="7"/>
        <v>-1.7263999603889794E-2</v>
      </c>
    </row>
    <row r="464" spans="1:12" x14ac:dyDescent="0.25">
      <c r="A464" s="5">
        <v>43139</v>
      </c>
      <c r="B464" s="4">
        <v>940.47497599999997</v>
      </c>
      <c r="C464" s="4">
        <v>301.39999399999999</v>
      </c>
      <c r="D464" s="4">
        <v>333.85000600000001</v>
      </c>
      <c r="E464" s="4">
        <v>1670.849976</v>
      </c>
      <c r="F464" s="4">
        <v>568.45001200000002</v>
      </c>
      <c r="G464" s="3">
        <f>IF('Value at Risk'!$C$5=0,'Market Data - EQ'!B464-'Market Data - EQ'!B465,IF('Value at Risk'!$C$6=0,('Market Data - EQ'!B464-'Market Data - EQ'!B465)/'Market Data - EQ'!B465,LN('Market Data - EQ'!B464/'Market Data - EQ'!B465)))</f>
        <v>4.3517213750092123E-3</v>
      </c>
      <c r="H464" s="3">
        <f>IF('Value at Risk'!$C$5=0,'Market Data - EQ'!C464-'Market Data - EQ'!C465,IF('Value at Risk'!$C$6=0,('Market Data - EQ'!C464-'Market Data - EQ'!C465)/'Market Data - EQ'!C465,LN('Market Data - EQ'!C464/'Market Data - EQ'!C465)))</f>
        <v>2.937160639501122E-2</v>
      </c>
      <c r="I464" s="3">
        <f>IF('Value at Risk'!$C$5=0,'Market Data - EQ'!D464-'Market Data - EQ'!D465,IF('Value at Risk'!$C$6=0,('Market Data - EQ'!D464-'Market Data - EQ'!D465)/'Market Data - EQ'!D465,LN('Market Data - EQ'!D464/'Market Data - EQ'!D465)))</f>
        <v>3.9092408567460929E-3</v>
      </c>
      <c r="J464" s="3">
        <f>IF('Value at Risk'!$C$5=0,'Market Data - EQ'!E464-'Market Data - EQ'!E465,IF('Value at Risk'!$C$6=0,('Market Data - EQ'!E464-'Market Data - EQ'!E465)/'Market Data - EQ'!E465,LN('Market Data - EQ'!E464/'Market Data - EQ'!E465)))</f>
        <v>5.4761402136301908E-3</v>
      </c>
      <c r="K464" s="3">
        <f>IF('Value at Risk'!$C$5=0,'Market Data - EQ'!F464-'Market Data - EQ'!F465,IF('Value at Risk'!$C$6=0,('Market Data - EQ'!F464-'Market Data - EQ'!F465)/'Market Data - EQ'!F465,LN('Market Data - EQ'!F464/'Market Data - EQ'!F465)))</f>
        <v>1.6268948583990011E-2</v>
      </c>
      <c r="L464" s="8">
        <f t="shared" si="7"/>
        <v>1.1875531484877347E-2</v>
      </c>
    </row>
    <row r="465" spans="1:12" x14ac:dyDescent="0.25">
      <c r="A465" s="5">
        <v>43138</v>
      </c>
      <c r="B465" s="4">
        <v>936.40002400000003</v>
      </c>
      <c r="C465" s="4">
        <v>292.79998799999998</v>
      </c>
      <c r="D465" s="4">
        <v>332.54998799999998</v>
      </c>
      <c r="E465" s="4">
        <v>1661.75</v>
      </c>
      <c r="F465" s="4">
        <v>559.34997599999997</v>
      </c>
      <c r="G465" s="3">
        <f>IF('Value at Risk'!$C$5=0,'Market Data - EQ'!B465-'Market Data - EQ'!B466,IF('Value at Risk'!$C$6=0,('Market Data - EQ'!B465-'Market Data - EQ'!B466)/'Market Data - EQ'!B466,LN('Market Data - EQ'!B465/'Market Data - EQ'!B466)))</f>
        <v>-1.2652888756147901E-2</v>
      </c>
      <c r="H465" s="3">
        <f>IF('Value at Risk'!$C$5=0,'Market Data - EQ'!C465-'Market Data - EQ'!C466,IF('Value at Risk'!$C$6=0,('Market Data - EQ'!C465-'Market Data - EQ'!C466)/'Market Data - EQ'!C466,LN('Market Data - EQ'!C465/'Market Data - EQ'!C466)))</f>
        <v>3.5989305912595879E-3</v>
      </c>
      <c r="I465" s="3">
        <f>IF('Value at Risk'!$C$5=0,'Market Data - EQ'!D465-'Market Data - EQ'!D466,IF('Value at Risk'!$C$6=0,('Market Data - EQ'!D465-'Market Data - EQ'!D466)/'Market Data - EQ'!D466,LN('Market Data - EQ'!D465/'Market Data - EQ'!D466)))</f>
        <v>5.594121357334482E-3</v>
      </c>
      <c r="J465" s="3">
        <f>IF('Value at Risk'!$C$5=0,'Market Data - EQ'!E465-'Market Data - EQ'!E466,IF('Value at Risk'!$C$6=0,('Market Data - EQ'!E465-'Market Data - EQ'!E466)/'Market Data - EQ'!E466,LN('Market Data - EQ'!E465/'Market Data - EQ'!E466)))</f>
        <v>-1.2538239475245991E-2</v>
      </c>
      <c r="K465" s="3">
        <f>IF('Value at Risk'!$C$5=0,'Market Data - EQ'!F465-'Market Data - EQ'!F466,IF('Value at Risk'!$C$6=0,('Market Data - EQ'!F465-'Market Data - EQ'!F466)/'Market Data - EQ'!F466,LN('Market Data - EQ'!F465/'Market Data - EQ'!F466)))</f>
        <v>-7.7169343753713555E-3</v>
      </c>
      <c r="L465" s="8">
        <f t="shared" si="7"/>
        <v>-4.7430021316342361E-3</v>
      </c>
    </row>
    <row r="466" spans="1:12" x14ac:dyDescent="0.25">
      <c r="A466" s="5">
        <v>43137</v>
      </c>
      <c r="B466" s="4">
        <v>948.40002400000003</v>
      </c>
      <c r="C466" s="4">
        <v>291.75</v>
      </c>
      <c r="D466" s="4">
        <v>330.70001200000002</v>
      </c>
      <c r="E466" s="4">
        <v>1682.849976</v>
      </c>
      <c r="F466" s="4">
        <v>563.70001200000002</v>
      </c>
      <c r="G466" s="3">
        <f>IF('Value at Risk'!$C$5=0,'Market Data - EQ'!B466-'Market Data - EQ'!B467,IF('Value at Risk'!$C$6=0,('Market Data - EQ'!B466-'Market Data - EQ'!B467)/'Market Data - EQ'!B467,LN('Market Data - EQ'!B466/'Market Data - EQ'!B467)))</f>
        <v>-8.9087066456665191E-3</v>
      </c>
      <c r="H466" s="3">
        <f>IF('Value at Risk'!$C$5=0,'Market Data - EQ'!C466-'Market Data - EQ'!C467,IF('Value at Risk'!$C$6=0,('Market Data - EQ'!C466-'Market Data - EQ'!C467)/'Market Data - EQ'!C467,LN('Market Data - EQ'!C466/'Market Data - EQ'!C467)))</f>
        <v>-2.1137353644181275E-2</v>
      </c>
      <c r="I466" s="3">
        <f>IF('Value at Risk'!$C$5=0,'Market Data - EQ'!D466-'Market Data - EQ'!D467,IF('Value at Risk'!$C$6=0,('Market Data - EQ'!D466-'Market Data - EQ'!D467)/'Market Data - EQ'!D467,LN('Market Data - EQ'!D466/'Market Data - EQ'!D467)))</f>
        <v>3.0330602475076643E-3</v>
      </c>
      <c r="J466" s="3">
        <f>IF('Value at Risk'!$C$5=0,'Market Data - EQ'!E466-'Market Data - EQ'!E467,IF('Value at Risk'!$C$6=0,('Market Data - EQ'!E466-'Market Data - EQ'!E467)/'Market Data - EQ'!E467,LN('Market Data - EQ'!E466/'Market Data - EQ'!E467)))</f>
        <v>-1.7600714535901944E-2</v>
      </c>
      <c r="K466" s="3">
        <f>IF('Value at Risk'!$C$5=0,'Market Data - EQ'!F466-'Market Data - EQ'!F467,IF('Value at Risk'!$C$6=0,('Market Data - EQ'!F466-'Market Data - EQ'!F467)/'Market Data - EQ'!F467,LN('Market Data - EQ'!F466/'Market Data - EQ'!F467)))</f>
        <v>-4.5032900662251392E-3</v>
      </c>
      <c r="L466" s="8">
        <f t="shared" si="7"/>
        <v>-9.8234009288934426E-3</v>
      </c>
    </row>
    <row r="467" spans="1:12" x14ac:dyDescent="0.25">
      <c r="A467" s="5">
        <v>43136</v>
      </c>
      <c r="B467" s="4">
        <v>956.92498799999998</v>
      </c>
      <c r="C467" s="4">
        <v>298.04998799999998</v>
      </c>
      <c r="D467" s="4">
        <v>329.70001200000002</v>
      </c>
      <c r="E467" s="4">
        <v>1713</v>
      </c>
      <c r="F467" s="4">
        <v>566.25</v>
      </c>
      <c r="G467" s="3">
        <f>IF('Value at Risk'!$C$5=0,'Market Data - EQ'!B467-'Market Data - EQ'!B468,IF('Value at Risk'!$C$6=0,('Market Data - EQ'!B467-'Market Data - EQ'!B468)/'Market Data - EQ'!B468,LN('Market Data - EQ'!B467/'Market Data - EQ'!B468)))</f>
        <v>-1.7530813141683792E-2</v>
      </c>
      <c r="H467" s="3">
        <f>IF('Value at Risk'!$C$5=0,'Market Data - EQ'!C467-'Market Data - EQ'!C468,IF('Value at Risk'!$C$6=0,('Market Data - EQ'!C467-'Market Data - EQ'!C468)/'Market Data - EQ'!C468,LN('Market Data - EQ'!C467/'Market Data - EQ'!C468)))</f>
        <v>2.354067549606766E-3</v>
      </c>
      <c r="I467" s="3">
        <f>IF('Value at Risk'!$C$5=0,'Market Data - EQ'!D467-'Market Data - EQ'!D468,IF('Value at Risk'!$C$6=0,('Market Data - EQ'!D467-'Market Data - EQ'!D468)/'Market Data - EQ'!D468,LN('Market Data - EQ'!D467/'Market Data - EQ'!D468)))</f>
        <v>-1.6114574465271696E-2</v>
      </c>
      <c r="J467" s="3">
        <f>IF('Value at Risk'!$C$5=0,'Market Data - EQ'!E467-'Market Data - EQ'!E468,IF('Value at Risk'!$C$6=0,('Market Data - EQ'!E467-'Market Data - EQ'!E468)/'Market Data - EQ'!E468,LN('Market Data - EQ'!E467/'Market Data - EQ'!E468)))</f>
        <v>-2.7422953305101479E-2</v>
      </c>
      <c r="K467" s="3">
        <f>IF('Value at Risk'!$C$5=0,'Market Data - EQ'!F467-'Market Data - EQ'!F468,IF('Value at Risk'!$C$6=0,('Market Data - EQ'!F467-'Market Data - EQ'!F468)/'Market Data - EQ'!F468,LN('Market Data - EQ'!F467/'Market Data - EQ'!F468)))</f>
        <v>2.3897609181195035E-3</v>
      </c>
      <c r="L467" s="8">
        <f t="shared" si="7"/>
        <v>-1.1264902488866139E-2</v>
      </c>
    </row>
    <row r="468" spans="1:12" x14ac:dyDescent="0.25">
      <c r="A468" s="5">
        <v>43133</v>
      </c>
      <c r="B468" s="4">
        <v>974</v>
      </c>
      <c r="C468" s="4">
        <v>297.35000600000001</v>
      </c>
      <c r="D468" s="4">
        <v>335.10000600000001</v>
      </c>
      <c r="E468" s="4">
        <v>1761.3000489999999</v>
      </c>
      <c r="F468" s="4">
        <v>564.90002400000003</v>
      </c>
      <c r="G468" s="3">
        <f>IF('Value at Risk'!$C$5=0,'Market Data - EQ'!B468-'Market Data - EQ'!B469,IF('Value at Risk'!$C$6=0,('Market Data - EQ'!B468-'Market Data - EQ'!B469)/'Market Data - EQ'!B469,LN('Market Data - EQ'!B468/'Market Data - EQ'!B469)))</f>
        <v>-2.1670905496772367E-2</v>
      </c>
      <c r="H468" s="3">
        <f>IF('Value at Risk'!$C$5=0,'Market Data - EQ'!C468-'Market Data - EQ'!C469,IF('Value at Risk'!$C$6=0,('Market Data - EQ'!C468-'Market Data - EQ'!C469)/'Market Data - EQ'!C469,LN('Market Data - EQ'!C468/'Market Data - EQ'!C469)))</f>
        <v>-2.842666995954915E-2</v>
      </c>
      <c r="I468" s="3">
        <f>IF('Value at Risk'!$C$5=0,'Market Data - EQ'!D468-'Market Data - EQ'!D469,IF('Value at Risk'!$C$6=0,('Market Data - EQ'!D468-'Market Data - EQ'!D469)/'Market Data - EQ'!D469,LN('Market Data - EQ'!D468/'Market Data - EQ'!D469)))</f>
        <v>-3.2062407900783109E-2</v>
      </c>
      <c r="J468" s="3">
        <f>IF('Value at Risk'!$C$5=0,'Market Data - EQ'!E468-'Market Data - EQ'!E469,IF('Value at Risk'!$C$6=0,('Market Data - EQ'!E468-'Market Data - EQ'!E469)/'Market Data - EQ'!E469,LN('Market Data - EQ'!E468/'Market Data - EQ'!E469)))</f>
        <v>-1.9020247253887453E-2</v>
      </c>
      <c r="K468" s="3">
        <f>IF('Value at Risk'!$C$5=0,'Market Data - EQ'!F468-'Market Data - EQ'!F469,IF('Value at Risk'!$C$6=0,('Market Data - EQ'!F468-'Market Data - EQ'!F469)/'Market Data - EQ'!F469,LN('Market Data - EQ'!F468/'Market Data - EQ'!F469)))</f>
        <v>-4.7064717551917282E-2</v>
      </c>
      <c r="L468" s="8">
        <f t="shared" si="7"/>
        <v>-2.9648989632581869E-2</v>
      </c>
    </row>
    <row r="469" spans="1:12" x14ac:dyDescent="0.25">
      <c r="A469" s="5">
        <v>43132</v>
      </c>
      <c r="B469" s="4">
        <v>995.57501200000002</v>
      </c>
      <c r="C469" s="4">
        <v>306.04998799999998</v>
      </c>
      <c r="D469" s="4">
        <v>346.20001200000002</v>
      </c>
      <c r="E469" s="4">
        <v>1795.4499510000001</v>
      </c>
      <c r="F469" s="4">
        <v>592.79998799999998</v>
      </c>
      <c r="G469" s="3">
        <f>IF('Value at Risk'!$C$5=0,'Market Data - EQ'!B469-'Market Data - EQ'!B470,IF('Value at Risk'!$C$6=0,('Market Data - EQ'!B469-'Market Data - EQ'!B470)/'Market Data - EQ'!B470,LN('Market Data - EQ'!B469/'Market Data - EQ'!B470)))</f>
        <v>-7.2542894491727595E-3</v>
      </c>
      <c r="H469" s="3">
        <f>IF('Value at Risk'!$C$5=0,'Market Data - EQ'!C469-'Market Data - EQ'!C470,IF('Value at Risk'!$C$6=0,('Market Data - EQ'!C469-'Market Data - EQ'!C470)/'Market Data - EQ'!C470,LN('Market Data - EQ'!C469/'Market Data - EQ'!C470)))</f>
        <v>-2.2984874700718326E-2</v>
      </c>
      <c r="I469" s="3">
        <f>IF('Value at Risk'!$C$5=0,'Market Data - EQ'!D469-'Market Data - EQ'!D470,IF('Value at Risk'!$C$6=0,('Market Data - EQ'!D469-'Market Data - EQ'!D470)/'Market Data - EQ'!D470,LN('Market Data - EQ'!D469/'Market Data - EQ'!D470)))</f>
        <v>-1.9124521236735359E-2</v>
      </c>
      <c r="J469" s="3">
        <f>IF('Value at Risk'!$C$5=0,'Market Data - EQ'!E469-'Market Data - EQ'!E470,IF('Value at Risk'!$C$6=0,('Market Data - EQ'!E469-'Market Data - EQ'!E470)/'Market Data - EQ'!E470,LN('Market Data - EQ'!E469/'Market Data - EQ'!E470)))</f>
        <v>2.415719330316167E-2</v>
      </c>
      <c r="K469" s="3">
        <f>IF('Value at Risk'!$C$5=0,'Market Data - EQ'!F469-'Market Data - EQ'!F470,IF('Value at Risk'!$C$6=0,('Market Data - EQ'!F469-'Market Data - EQ'!F470)/'Market Data - EQ'!F470,LN('Market Data - EQ'!F469/'Market Data - EQ'!F470)))</f>
        <v>-1.3476887337340203E-3</v>
      </c>
      <c r="L469" s="8">
        <f t="shared" si="7"/>
        <v>-5.3108361634397593E-3</v>
      </c>
    </row>
    <row r="470" spans="1:12" x14ac:dyDescent="0.25">
      <c r="A470" s="5">
        <v>43131</v>
      </c>
      <c r="B470" s="4">
        <v>1002.849976</v>
      </c>
      <c r="C470" s="4">
        <v>313.25</v>
      </c>
      <c r="D470" s="4">
        <v>352.95001200000002</v>
      </c>
      <c r="E470" s="4">
        <v>1753.099976</v>
      </c>
      <c r="F470" s="4">
        <v>593.59997599999997</v>
      </c>
      <c r="G470" s="3">
        <f>IF('Value at Risk'!$C$5=0,'Market Data - EQ'!B470-'Market Data - EQ'!B471,IF('Value at Risk'!$C$6=0,('Market Data - EQ'!B470-'Market Data - EQ'!B471)/'Market Data - EQ'!B471,LN('Market Data - EQ'!B470/'Market Data - EQ'!B471)))</f>
        <v>5.1114768228513853E-3</v>
      </c>
      <c r="H470" s="3">
        <f>IF('Value at Risk'!$C$5=0,'Market Data - EQ'!C470-'Market Data - EQ'!C471,IF('Value at Risk'!$C$6=0,('Market Data - EQ'!C470-'Market Data - EQ'!C471)/'Market Data - EQ'!C471,LN('Market Data - EQ'!C470/'Market Data - EQ'!C471)))</f>
        <v>-9.5674696693014974E-4</v>
      </c>
      <c r="I470" s="3">
        <f>IF('Value at Risk'!$C$5=0,'Market Data - EQ'!D470-'Market Data - EQ'!D471,IF('Value at Risk'!$C$6=0,('Market Data - EQ'!D470-'Market Data - EQ'!D471)/'Market Data - EQ'!D471,LN('Market Data - EQ'!D470/'Market Data - EQ'!D471)))</f>
        <v>-8.4922292993626271E-4</v>
      </c>
      <c r="J470" s="3">
        <f>IF('Value at Risk'!$C$5=0,'Market Data - EQ'!E470-'Market Data - EQ'!E471,IF('Value at Risk'!$C$6=0,('Market Data - EQ'!E470-'Market Data - EQ'!E471)/'Market Data - EQ'!E471,LN('Market Data - EQ'!E470/'Market Data - EQ'!E471)))</f>
        <v>9.8211033776480858E-3</v>
      </c>
      <c r="K470" s="3">
        <f>IF('Value at Risk'!$C$5=0,'Market Data - EQ'!F470-'Market Data - EQ'!F471,IF('Value at Risk'!$C$6=0,('Market Data - EQ'!F470-'Market Data - EQ'!F471)/'Market Data - EQ'!F471,LN('Market Data - EQ'!F470/'Market Data - EQ'!F471)))</f>
        <v>-2.5267200000005113E-4</v>
      </c>
      <c r="L470" s="8">
        <f t="shared" si="7"/>
        <v>2.5747876607266017E-3</v>
      </c>
    </row>
    <row r="471" spans="1:12" x14ac:dyDescent="0.25">
      <c r="A471" s="5">
        <v>43130</v>
      </c>
      <c r="B471" s="4">
        <v>997.75</v>
      </c>
      <c r="C471" s="4">
        <v>313.54998799999998</v>
      </c>
      <c r="D471" s="4">
        <v>353.25</v>
      </c>
      <c r="E471" s="4">
        <v>1736.0500489999999</v>
      </c>
      <c r="F471" s="4">
        <v>593.75</v>
      </c>
      <c r="G471" s="3">
        <f>IF('Value at Risk'!$C$5=0,'Market Data - EQ'!B471-'Market Data - EQ'!B472,IF('Value at Risk'!$C$6=0,('Market Data - EQ'!B471-'Market Data - EQ'!B472)/'Market Data - EQ'!B472,LN('Market Data - EQ'!B471/'Market Data - EQ'!B472)))</f>
        <v>-2.0753751657495191E-3</v>
      </c>
      <c r="H471" s="3">
        <f>IF('Value at Risk'!$C$5=0,'Market Data - EQ'!C471-'Market Data - EQ'!C472,IF('Value at Risk'!$C$6=0,('Market Data - EQ'!C471-'Market Data - EQ'!C472)/'Market Data - EQ'!C472,LN('Market Data - EQ'!C471/'Market Data - EQ'!C472)))</f>
        <v>4.645889048781297E-3</v>
      </c>
      <c r="I471" s="3">
        <f>IF('Value at Risk'!$C$5=0,'Market Data - EQ'!D471-'Market Data - EQ'!D472,IF('Value at Risk'!$C$6=0,('Market Data - EQ'!D471-'Market Data - EQ'!D472)/'Market Data - EQ'!D472,LN('Market Data - EQ'!D471/'Market Data - EQ'!D472)))</f>
        <v>-1.2302513837033624E-2</v>
      </c>
      <c r="J471" s="3">
        <f>IF('Value at Risk'!$C$5=0,'Market Data - EQ'!E471-'Market Data - EQ'!E472,IF('Value at Risk'!$C$6=0,('Market Data - EQ'!E471-'Market Data - EQ'!E472)/'Market Data - EQ'!E472,LN('Market Data - EQ'!E471/'Market Data - EQ'!E472)))</f>
        <v>-3.7015500717360434E-3</v>
      </c>
      <c r="K471" s="3">
        <f>IF('Value at Risk'!$C$5=0,'Market Data - EQ'!F471-'Market Data - EQ'!F472,IF('Value at Risk'!$C$6=0,('Market Data - EQ'!F471-'Market Data - EQ'!F472)/'Market Data - EQ'!F472,LN('Market Data - EQ'!F471/'Market Data - EQ'!F472)))</f>
        <v>-1.9486397876041218E-2</v>
      </c>
      <c r="L471" s="8">
        <f t="shared" si="7"/>
        <v>-6.5839895803558217E-3</v>
      </c>
    </row>
    <row r="472" spans="1:12" x14ac:dyDescent="0.25">
      <c r="A472" s="5">
        <v>43129</v>
      </c>
      <c r="B472" s="4">
        <v>999.82501200000002</v>
      </c>
      <c r="C472" s="4">
        <v>312.10000600000001</v>
      </c>
      <c r="D472" s="4">
        <v>357.64999399999999</v>
      </c>
      <c r="E472" s="4">
        <v>1742.5</v>
      </c>
      <c r="F472" s="4">
        <v>605.54998799999998</v>
      </c>
      <c r="G472" s="3">
        <f>IF('Value at Risk'!$C$5=0,'Market Data - EQ'!B472-'Market Data - EQ'!B473,IF('Value at Risk'!$C$6=0,('Market Data - EQ'!B472-'Market Data - EQ'!B473)/'Market Data - EQ'!B473,LN('Market Data - EQ'!B472/'Market Data - EQ'!B473)))</f>
        <v>1.2506682498453556E-2</v>
      </c>
      <c r="H472" s="3">
        <f>IF('Value at Risk'!$C$5=0,'Market Data - EQ'!C472-'Market Data - EQ'!C473,IF('Value at Risk'!$C$6=0,('Market Data - EQ'!C472-'Market Data - EQ'!C473)/'Market Data - EQ'!C473,LN('Market Data - EQ'!C472/'Market Data - EQ'!C473)))</f>
        <v>-3.3529874504803115E-3</v>
      </c>
      <c r="I472" s="3">
        <f>IF('Value at Risk'!$C$5=0,'Market Data - EQ'!D472-'Market Data - EQ'!D473,IF('Value at Risk'!$C$6=0,('Market Data - EQ'!D472-'Market Data - EQ'!D473)/'Market Data - EQ'!D473,LN('Market Data - EQ'!D472/'Market Data - EQ'!D473)))</f>
        <v>-8.7305823302854229E-3</v>
      </c>
      <c r="J472" s="3">
        <f>IF('Value at Risk'!$C$5=0,'Market Data - EQ'!E472-'Market Data - EQ'!E473,IF('Value at Risk'!$C$6=0,('Market Data - EQ'!E472-'Market Data - EQ'!E473)/'Market Data - EQ'!E473,LN('Market Data - EQ'!E472/'Market Data - EQ'!E473)))</f>
        <v>7.1090332610926907E-3</v>
      </c>
      <c r="K472" s="3">
        <f>IF('Value at Risk'!$C$5=0,'Market Data - EQ'!F472-'Market Data - EQ'!F473,IF('Value at Risk'!$C$6=0,('Market Data - EQ'!F472-'Market Data - EQ'!F473)/'Market Data - EQ'!F473,LN('Market Data - EQ'!F472/'Market Data - EQ'!F473)))</f>
        <v>-1.712382472159029E-2</v>
      </c>
      <c r="L472" s="8">
        <f t="shared" si="7"/>
        <v>-1.9183357485619557E-3</v>
      </c>
    </row>
    <row r="473" spans="1:12" x14ac:dyDescent="0.25">
      <c r="A473" s="5">
        <v>43125</v>
      </c>
      <c r="B473" s="4">
        <v>987.47497599999997</v>
      </c>
      <c r="C473" s="4">
        <v>313.14999399999999</v>
      </c>
      <c r="D473" s="4">
        <v>360.79998799999998</v>
      </c>
      <c r="E473" s="4">
        <v>1730.1999510000001</v>
      </c>
      <c r="F473" s="4">
        <v>616.09997599999997</v>
      </c>
      <c r="G473" s="3">
        <f>IF('Value at Risk'!$C$5=0,'Market Data - EQ'!B473-'Market Data - EQ'!B474,IF('Value at Risk'!$C$6=0,('Market Data - EQ'!B473-'Market Data - EQ'!B474)/'Market Data - EQ'!B474,LN('Market Data - EQ'!B473/'Market Data - EQ'!B474)))</f>
        <v>8.8370892590145158E-3</v>
      </c>
      <c r="H473" s="3">
        <f>IF('Value at Risk'!$C$5=0,'Market Data - EQ'!C473-'Market Data - EQ'!C474,IF('Value at Risk'!$C$6=0,('Market Data - EQ'!C473-'Market Data - EQ'!C474)/'Market Data - EQ'!C474,LN('Market Data - EQ'!C473/'Market Data - EQ'!C474)))</f>
        <v>-5.0772962426910505E-2</v>
      </c>
      <c r="I473" s="3">
        <f>IF('Value at Risk'!$C$5=0,'Market Data - EQ'!D473-'Market Data - EQ'!D474,IF('Value at Risk'!$C$6=0,('Market Data - EQ'!D473-'Market Data - EQ'!D474)/'Market Data - EQ'!D474,LN('Market Data - EQ'!D473/'Market Data - EQ'!D474)))</f>
        <v>2.2820660524450701E-2</v>
      </c>
      <c r="J473" s="3">
        <f>IF('Value at Risk'!$C$5=0,'Market Data - EQ'!E473-'Market Data - EQ'!E474,IF('Value at Risk'!$C$6=0,('Market Data - EQ'!E473-'Market Data - EQ'!E474)/'Market Data - EQ'!E474,LN('Market Data - EQ'!E473/'Market Data - EQ'!E474)))</f>
        <v>7.5117344854860081E-3</v>
      </c>
      <c r="K473" s="3">
        <f>IF('Value at Risk'!$C$5=0,'Market Data - EQ'!F473-'Market Data - EQ'!F474,IF('Value at Risk'!$C$6=0,('Market Data - EQ'!F473-'Market Data - EQ'!F474)/'Market Data - EQ'!F474,LN('Market Data - EQ'!F473/'Market Data - EQ'!F474)))</f>
        <v>1.340564822622284E-2</v>
      </c>
      <c r="L473" s="8">
        <f t="shared" si="7"/>
        <v>3.604340136527124E-4</v>
      </c>
    </row>
    <row r="474" spans="1:12" x14ac:dyDescent="0.25">
      <c r="A474" s="5">
        <v>43124</v>
      </c>
      <c r="B474" s="4">
        <v>978.82501200000002</v>
      </c>
      <c r="C474" s="4">
        <v>329.89999399999999</v>
      </c>
      <c r="D474" s="4">
        <v>352.75</v>
      </c>
      <c r="E474" s="4">
        <v>1717.3000489999999</v>
      </c>
      <c r="F474" s="4">
        <v>607.95001200000002</v>
      </c>
      <c r="G474" s="3">
        <f>IF('Value at Risk'!$C$5=0,'Market Data - EQ'!B474-'Market Data - EQ'!B475,IF('Value at Risk'!$C$6=0,('Market Data - EQ'!B474-'Market Data - EQ'!B475)/'Market Data - EQ'!B475,LN('Market Data - EQ'!B474/'Market Data - EQ'!B475)))</f>
        <v>3.2542283830251663E-3</v>
      </c>
      <c r="H474" s="3">
        <f>IF('Value at Risk'!$C$5=0,'Market Data - EQ'!C474-'Market Data - EQ'!C475,IF('Value at Risk'!$C$6=0,('Market Data - EQ'!C474-'Market Data - EQ'!C475)/'Market Data - EQ'!C475,LN('Market Data - EQ'!C474/'Market Data - EQ'!C475)))</f>
        <v>3.7095214641397978E-2</v>
      </c>
      <c r="I474" s="3">
        <f>IF('Value at Risk'!$C$5=0,'Market Data - EQ'!D474-'Market Data - EQ'!D475,IF('Value at Risk'!$C$6=0,('Market Data - EQ'!D474-'Market Data - EQ'!D475)/'Market Data - EQ'!D475,LN('Market Data - EQ'!D474/'Market Data - EQ'!D475)))</f>
        <v>-2.6359338438620056E-2</v>
      </c>
      <c r="J474" s="3">
        <f>IF('Value at Risk'!$C$5=0,'Market Data - EQ'!E474-'Market Data - EQ'!E475,IF('Value at Risk'!$C$6=0,('Market Data - EQ'!E474-'Market Data - EQ'!E475)/'Market Data - EQ'!E475,LN('Market Data - EQ'!E474/'Market Data - EQ'!E475)))</f>
        <v>-3.510562035717361E-3</v>
      </c>
      <c r="K474" s="3">
        <f>IF('Value at Risk'!$C$5=0,'Market Data - EQ'!F474-'Market Data - EQ'!F475,IF('Value at Risk'!$C$6=0,('Market Data - EQ'!F474-'Market Data - EQ'!F475)/'Market Data - EQ'!F475,LN('Market Data - EQ'!F474/'Market Data - EQ'!F475)))</f>
        <v>-1.9593556636422052E-2</v>
      </c>
      <c r="L474" s="8">
        <f t="shared" si="7"/>
        <v>-1.8228028172672655E-3</v>
      </c>
    </row>
    <row r="475" spans="1:12" x14ac:dyDescent="0.25">
      <c r="A475" s="5">
        <v>43123</v>
      </c>
      <c r="B475" s="4">
        <v>975.65002400000003</v>
      </c>
      <c r="C475" s="4">
        <v>318.10000600000001</v>
      </c>
      <c r="D475" s="4">
        <v>362.29998799999998</v>
      </c>
      <c r="E475" s="4">
        <v>1723.349976</v>
      </c>
      <c r="F475" s="4">
        <v>620.09997599999997</v>
      </c>
      <c r="G475" s="3">
        <f>IF('Value at Risk'!$C$5=0,'Market Data - EQ'!B475-'Market Data - EQ'!B476,IF('Value at Risk'!$C$6=0,('Market Data - EQ'!B475-'Market Data - EQ'!B476)/'Market Data - EQ'!B476,LN('Market Data - EQ'!B475/'Market Data - EQ'!B476)))</f>
        <v>-6.1374325246636051E-3</v>
      </c>
      <c r="H475" s="3">
        <f>IF('Value at Risk'!$C$5=0,'Market Data - EQ'!C475-'Market Data - EQ'!C476,IF('Value at Risk'!$C$6=0,('Market Data - EQ'!C475-'Market Data - EQ'!C476)/'Market Data - EQ'!C476,LN('Market Data - EQ'!C475/'Market Data - EQ'!C476)))</f>
        <v>3.7846675367047333E-2</v>
      </c>
      <c r="I475" s="3">
        <f>IF('Value at Risk'!$C$5=0,'Market Data - EQ'!D475-'Market Data - EQ'!D476,IF('Value at Risk'!$C$6=0,('Market Data - EQ'!D475-'Market Data - EQ'!D476)/'Market Data - EQ'!D476,LN('Market Data - EQ'!D475/'Market Data - EQ'!D476)))</f>
        <v>3.072542816500707E-2</v>
      </c>
      <c r="J475" s="3">
        <f>IF('Value at Risk'!$C$5=0,'Market Data - EQ'!E475-'Market Data - EQ'!E476,IF('Value at Risk'!$C$6=0,('Market Data - EQ'!E475-'Market Data - EQ'!E476)/'Market Data - EQ'!E476,LN('Market Data - EQ'!E475/'Market Data - EQ'!E476)))</f>
        <v>2.3853390071777582E-2</v>
      </c>
      <c r="K475" s="3">
        <f>IF('Value at Risk'!$C$5=0,'Market Data - EQ'!F475-'Market Data - EQ'!F476,IF('Value at Risk'!$C$6=0,('Market Data - EQ'!F475-'Market Data - EQ'!F476)/'Market Data - EQ'!F476,LN('Market Data - EQ'!F475/'Market Data - EQ'!F476)))</f>
        <v>1.3980848937568756E-2</v>
      </c>
      <c r="L475" s="8">
        <f t="shared" si="7"/>
        <v>2.0053782003347426E-2</v>
      </c>
    </row>
    <row r="476" spans="1:12" x14ac:dyDescent="0.25">
      <c r="A476" s="5">
        <v>43122</v>
      </c>
      <c r="B476" s="4">
        <v>981.67498799999998</v>
      </c>
      <c r="C476" s="4">
        <v>306.5</v>
      </c>
      <c r="D476" s="4">
        <v>351.5</v>
      </c>
      <c r="E476" s="4">
        <v>1683.1999510000001</v>
      </c>
      <c r="F476" s="4">
        <v>611.54998799999998</v>
      </c>
      <c r="G476" s="3">
        <f>IF('Value at Risk'!$C$5=0,'Market Data - EQ'!B476-'Market Data - EQ'!B477,IF('Value at Risk'!$C$6=0,('Market Data - EQ'!B476-'Market Data - EQ'!B477)/'Market Data - EQ'!B477,LN('Market Data - EQ'!B476/'Market Data - EQ'!B477)))</f>
        <v>5.7115174030083326E-3</v>
      </c>
      <c r="H476" s="3">
        <f>IF('Value at Risk'!$C$5=0,'Market Data - EQ'!C476-'Market Data - EQ'!C477,IF('Value at Risk'!$C$6=0,('Market Data - EQ'!C476-'Market Data - EQ'!C477)/'Market Data - EQ'!C477,LN('Market Data - EQ'!C476/'Market Data - EQ'!C477)))</f>
        <v>-8.8924818108326604E-3</v>
      </c>
      <c r="I476" s="3">
        <f>IF('Value at Risk'!$C$5=0,'Market Data - EQ'!D476-'Market Data - EQ'!D477,IF('Value at Risk'!$C$6=0,('Market Data - EQ'!D476-'Market Data - EQ'!D477)/'Market Data - EQ'!D477,LN('Market Data - EQ'!D476/'Market Data - EQ'!D477)))</f>
        <v>-5.93893089470142E-3</v>
      </c>
      <c r="J476" s="3">
        <f>IF('Value at Risk'!$C$5=0,'Market Data - EQ'!E476-'Market Data - EQ'!E477,IF('Value at Risk'!$C$6=0,('Market Data - EQ'!E476-'Market Data - EQ'!E477)/'Market Data - EQ'!E477,LN('Market Data - EQ'!E476/'Market Data - EQ'!E477)))</f>
        <v>-4.7508847980994327E-4</v>
      </c>
      <c r="K476" s="3">
        <f>IF('Value at Risk'!$C$5=0,'Market Data - EQ'!F476-'Market Data - EQ'!F477,IF('Value at Risk'!$C$6=0,('Market Data - EQ'!F476-'Market Data - EQ'!F477)/'Market Data - EQ'!F477,LN('Market Data - EQ'!F476/'Market Data - EQ'!F477)))</f>
        <v>3.6086383735705184E-2</v>
      </c>
      <c r="L476" s="8">
        <f t="shared" si="7"/>
        <v>5.2982799906738983E-3</v>
      </c>
    </row>
    <row r="477" spans="1:12" x14ac:dyDescent="0.25">
      <c r="A477" s="5">
        <v>43119</v>
      </c>
      <c r="B477" s="4">
        <v>976.09997599999997</v>
      </c>
      <c r="C477" s="4">
        <v>309.25</v>
      </c>
      <c r="D477" s="4">
        <v>353.60000600000001</v>
      </c>
      <c r="E477" s="4">
        <v>1684</v>
      </c>
      <c r="F477" s="4">
        <v>590.25</v>
      </c>
      <c r="G477" s="3">
        <f>IF('Value at Risk'!$C$5=0,'Market Data - EQ'!B477-'Market Data - EQ'!B478,IF('Value at Risk'!$C$6=0,('Market Data - EQ'!B477-'Market Data - EQ'!B478)/'Market Data - EQ'!B478,LN('Market Data - EQ'!B477/'Market Data - EQ'!B478)))</f>
        <v>9.2539438328132009E-3</v>
      </c>
      <c r="H477" s="3">
        <f>IF('Value at Risk'!$C$5=0,'Market Data - EQ'!C477-'Market Data - EQ'!C478,IF('Value at Risk'!$C$6=0,('Market Data - EQ'!C477-'Market Data - EQ'!C478)/'Market Data - EQ'!C478,LN('Market Data - EQ'!C477/'Market Data - EQ'!C478)))</f>
        <v>1.9785655399835119E-2</v>
      </c>
      <c r="I477" s="3">
        <f>IF('Value at Risk'!$C$5=0,'Market Data - EQ'!D477-'Market Data - EQ'!D478,IF('Value at Risk'!$C$6=0,('Market Data - EQ'!D477-'Market Data - EQ'!D478)/'Market Data - EQ'!D478,LN('Market Data - EQ'!D477/'Market Data - EQ'!D478)))</f>
        <v>2.1522496400794434E-2</v>
      </c>
      <c r="J477" s="3">
        <f>IF('Value at Risk'!$C$5=0,'Market Data - EQ'!E477-'Market Data - EQ'!E478,IF('Value at Risk'!$C$6=0,('Market Data - EQ'!E477-'Market Data - EQ'!E478)/'Market Data - EQ'!E478,LN('Market Data - EQ'!E477/'Market Data - EQ'!E478)))</f>
        <v>2.3213047174045257E-3</v>
      </c>
      <c r="K477" s="3">
        <f>IF('Value at Risk'!$C$5=0,'Market Data - EQ'!F477-'Market Data - EQ'!F478,IF('Value at Risk'!$C$6=0,('Market Data - EQ'!F477-'Market Data - EQ'!F478)/'Market Data - EQ'!F478,LN('Market Data - EQ'!F477/'Market Data - EQ'!F478)))</f>
        <v>9.3194461556658156E-3</v>
      </c>
      <c r="L477" s="8">
        <f t="shared" si="7"/>
        <v>1.244056930130262E-2</v>
      </c>
    </row>
    <row r="478" spans="1:12" x14ac:dyDescent="0.25">
      <c r="A478" s="5">
        <v>43118</v>
      </c>
      <c r="B478" s="4">
        <v>967.15002400000003</v>
      </c>
      <c r="C478" s="4">
        <v>303.25</v>
      </c>
      <c r="D478" s="4">
        <v>346.14999399999999</v>
      </c>
      <c r="E478" s="4">
        <v>1680.099976</v>
      </c>
      <c r="F478" s="4">
        <v>584.79998799999998</v>
      </c>
      <c r="G478" s="3">
        <f>IF('Value at Risk'!$C$5=0,'Market Data - EQ'!B478-'Market Data - EQ'!B479,IF('Value at Risk'!$C$6=0,('Market Data - EQ'!B478-'Market Data - EQ'!B479)/'Market Data - EQ'!B479,LN('Market Data - EQ'!B478/'Market Data - EQ'!B479)))</f>
        <v>2.3168499338799293E-2</v>
      </c>
      <c r="H478" s="3">
        <f>IF('Value at Risk'!$C$5=0,'Market Data - EQ'!C478-'Market Data - EQ'!C479,IF('Value at Risk'!$C$6=0,('Market Data - EQ'!C478-'Market Data - EQ'!C479)/'Market Data - EQ'!C479,LN('Market Data - EQ'!C478/'Market Data - EQ'!C479)))</f>
        <v>-1.2536652311234431E-2</v>
      </c>
      <c r="I478" s="3">
        <f>IF('Value at Risk'!$C$5=0,'Market Data - EQ'!D478-'Market Data - EQ'!D479,IF('Value at Risk'!$C$6=0,('Market Data - EQ'!D478-'Market Data - EQ'!D479)/'Market Data - EQ'!D479,LN('Market Data - EQ'!D478/'Market Data - EQ'!D479)))</f>
        <v>8.4486351056081346E-3</v>
      </c>
      <c r="J478" s="3">
        <f>IF('Value at Risk'!$C$5=0,'Market Data - EQ'!E478-'Market Data - EQ'!E479,IF('Value at Risk'!$C$6=0,('Market Data - EQ'!E478-'Market Data - EQ'!E479)/'Market Data - EQ'!E479,LN('Market Data - EQ'!E478/'Market Data - EQ'!E479)))</f>
        <v>1.3665586092861705E-2</v>
      </c>
      <c r="K478" s="3">
        <f>IF('Value at Risk'!$C$5=0,'Market Data - EQ'!F478-'Market Data - EQ'!F479,IF('Value at Risk'!$C$6=0,('Market Data - EQ'!F478-'Market Data - EQ'!F479)/'Market Data - EQ'!F479,LN('Market Data - EQ'!F478/'Market Data - EQ'!F479)))</f>
        <v>-6.835679969193684E-4</v>
      </c>
      <c r="L478" s="8">
        <f t="shared" si="7"/>
        <v>6.4125000458230665E-3</v>
      </c>
    </row>
    <row r="479" spans="1:12" x14ac:dyDescent="0.25">
      <c r="A479" s="5">
        <v>43117</v>
      </c>
      <c r="B479" s="4">
        <v>945.25</v>
      </c>
      <c r="C479" s="4">
        <v>307.10000600000001</v>
      </c>
      <c r="D479" s="4">
        <v>343.25</v>
      </c>
      <c r="E479" s="4">
        <v>1657.4499510000001</v>
      </c>
      <c r="F479" s="4">
        <v>585.20001200000002</v>
      </c>
      <c r="G479" s="3">
        <f>IF('Value at Risk'!$C$5=0,'Market Data - EQ'!B479-'Market Data - EQ'!B480,IF('Value at Risk'!$C$6=0,('Market Data - EQ'!B479-'Market Data - EQ'!B480)/'Market Data - EQ'!B480,LN('Market Data - EQ'!B479/'Market Data - EQ'!B480)))</f>
        <v>-5.078558996981614E-3</v>
      </c>
      <c r="H479" s="3">
        <f>IF('Value at Risk'!$C$5=0,'Market Data - EQ'!C479-'Market Data - EQ'!C480,IF('Value at Risk'!$C$6=0,('Market Data - EQ'!C479-'Market Data - EQ'!C480)/'Market Data - EQ'!C480,LN('Market Data - EQ'!C479/'Market Data - EQ'!C480)))</f>
        <v>3.6974547431528955E-2</v>
      </c>
      <c r="I479" s="3">
        <f>IF('Value at Risk'!$C$5=0,'Market Data - EQ'!D479-'Market Data - EQ'!D480,IF('Value at Risk'!$C$6=0,('Market Data - EQ'!D479-'Market Data - EQ'!D480)/'Market Data - EQ'!D480,LN('Market Data - EQ'!D479/'Market Data - EQ'!D480)))</f>
        <v>2.7386991426752601E-2</v>
      </c>
      <c r="J479" s="3">
        <f>IF('Value at Risk'!$C$5=0,'Market Data - EQ'!E479-'Market Data - EQ'!E480,IF('Value at Risk'!$C$6=0,('Market Data - EQ'!E479-'Market Data - EQ'!E480)/'Market Data - EQ'!E480,LN('Market Data - EQ'!E479/'Market Data - EQ'!E480)))</f>
        <v>-4.2953412850463201E-3</v>
      </c>
      <c r="K479" s="3">
        <f>IF('Value at Risk'!$C$5=0,'Market Data - EQ'!F479-'Market Data - EQ'!F480,IF('Value at Risk'!$C$6=0,('Market Data - EQ'!F479-'Market Data - EQ'!F480)/'Market Data - EQ'!F480,LN('Market Data - EQ'!F479/'Market Data - EQ'!F480)))</f>
        <v>3.9062499167702429E-2</v>
      </c>
      <c r="L479" s="8">
        <f t="shared" si="7"/>
        <v>1.881002754879121E-2</v>
      </c>
    </row>
    <row r="480" spans="1:12" x14ac:dyDescent="0.25">
      <c r="A480" s="5">
        <v>43116</v>
      </c>
      <c r="B480" s="4">
        <v>950.07501200000002</v>
      </c>
      <c r="C480" s="4">
        <v>296.14999399999999</v>
      </c>
      <c r="D480" s="4">
        <v>334.10000600000001</v>
      </c>
      <c r="E480" s="4">
        <v>1664.599976</v>
      </c>
      <c r="F480" s="4">
        <v>563.20001200000002</v>
      </c>
      <c r="G480" s="3">
        <f>IF('Value at Risk'!$C$5=0,'Market Data - EQ'!B480-'Market Data - EQ'!B481,IF('Value at Risk'!$C$6=0,('Market Data - EQ'!B480-'Market Data - EQ'!B481)/'Market Data - EQ'!B481,LN('Market Data - EQ'!B480/'Market Data - EQ'!B481)))</f>
        <v>1.2646681596627746E-3</v>
      </c>
      <c r="H480" s="3">
        <f>IF('Value at Risk'!$C$5=0,'Market Data - EQ'!C480-'Market Data - EQ'!C481,IF('Value at Risk'!$C$6=0,('Market Data - EQ'!C480-'Market Data - EQ'!C481)/'Market Data - EQ'!C481,LN('Market Data - EQ'!C480/'Market Data - EQ'!C481)))</f>
        <v>-2.1315306913774531E-2</v>
      </c>
      <c r="I480" s="3">
        <f>IF('Value at Risk'!$C$5=0,'Market Data - EQ'!D480-'Market Data - EQ'!D481,IF('Value at Risk'!$C$6=0,('Market Data - EQ'!D480-'Market Data - EQ'!D481)/'Market Data - EQ'!D481,LN('Market Data - EQ'!D480/'Market Data - EQ'!D481)))</f>
        <v>1.4576429319517688E-2</v>
      </c>
      <c r="J480" s="3">
        <f>IF('Value at Risk'!$C$5=0,'Market Data - EQ'!E480-'Market Data - EQ'!E481,IF('Value at Risk'!$C$6=0,('Market Data - EQ'!E480-'Market Data - EQ'!E481)/'Market Data - EQ'!E481,LN('Market Data - EQ'!E480/'Market Data - EQ'!E481)))</f>
        <v>-1.0580152012646464E-2</v>
      </c>
      <c r="K480" s="3">
        <f>IF('Value at Risk'!$C$5=0,'Market Data - EQ'!F480-'Market Data - EQ'!F481,IF('Value at Risk'!$C$6=0,('Market Data - EQ'!F480-'Market Data - EQ'!F481)/'Market Data - EQ'!F481,LN('Market Data - EQ'!F480/'Market Data - EQ'!F481)))</f>
        <v>4.7275426933021903E-3</v>
      </c>
      <c r="L480" s="8">
        <f t="shared" si="7"/>
        <v>-2.2653637507876684E-3</v>
      </c>
    </row>
    <row r="481" spans="1:12" x14ac:dyDescent="0.25">
      <c r="A481" s="5">
        <v>43115</v>
      </c>
      <c r="B481" s="4">
        <v>948.875</v>
      </c>
      <c r="C481" s="4">
        <v>302.60000600000001</v>
      </c>
      <c r="D481" s="4">
        <v>329.29998799999998</v>
      </c>
      <c r="E481" s="4">
        <v>1682.400024</v>
      </c>
      <c r="F481" s="4">
        <v>560.54998799999998</v>
      </c>
      <c r="G481" s="3">
        <f>IF('Value at Risk'!$C$5=0,'Market Data - EQ'!B481-'Market Data - EQ'!B482,IF('Value at Risk'!$C$6=0,('Market Data - EQ'!B481-'Market Data - EQ'!B482)/'Market Data - EQ'!B482,LN('Market Data - EQ'!B481/'Market Data - EQ'!B482)))</f>
        <v>1.7396639234954835E-2</v>
      </c>
      <c r="H481" s="3">
        <f>IF('Value at Risk'!$C$5=0,'Market Data - EQ'!C481-'Market Data - EQ'!C482,IF('Value at Risk'!$C$6=0,('Market Data - EQ'!C481-'Market Data - EQ'!C482)/'Market Data - EQ'!C482,LN('Market Data - EQ'!C481/'Market Data - EQ'!C482)))</f>
        <v>1.1580016542597439E-3</v>
      </c>
      <c r="I481" s="3">
        <f>IF('Value at Risk'!$C$5=0,'Market Data - EQ'!D481-'Market Data - EQ'!D482,IF('Value at Risk'!$C$6=0,('Market Data - EQ'!D481-'Market Data - EQ'!D482)/'Market Data - EQ'!D482,LN('Market Data - EQ'!D481/'Market Data - EQ'!D482)))</f>
        <v>3.6512356190908701E-2</v>
      </c>
      <c r="J481" s="3">
        <f>IF('Value at Risk'!$C$5=0,'Market Data - EQ'!E481-'Market Data - EQ'!E482,IF('Value at Risk'!$C$6=0,('Market Data - EQ'!E481-'Market Data - EQ'!E482)/'Market Data - EQ'!E482,LN('Market Data - EQ'!E481/'Market Data - EQ'!E482)))</f>
        <v>-1.3399780677320023E-2</v>
      </c>
      <c r="K481" s="3">
        <f>IF('Value at Risk'!$C$5=0,'Market Data - EQ'!F481-'Market Data - EQ'!F482,IF('Value at Risk'!$C$6=0,('Market Data - EQ'!F481-'Market Data - EQ'!F482)/'Market Data - EQ'!F482,LN('Market Data - EQ'!F481/'Market Data - EQ'!F482)))</f>
        <v>9.8180728438727501E-3</v>
      </c>
      <c r="L481" s="8">
        <f t="shared" si="7"/>
        <v>1.0297057849335201E-2</v>
      </c>
    </row>
    <row r="482" spans="1:12" x14ac:dyDescent="0.25">
      <c r="A482" s="5">
        <v>43112</v>
      </c>
      <c r="B482" s="4">
        <v>932.65002400000003</v>
      </c>
      <c r="C482" s="4">
        <v>302.25</v>
      </c>
      <c r="D482" s="4">
        <v>317.70001200000002</v>
      </c>
      <c r="E482" s="4">
        <v>1705.25</v>
      </c>
      <c r="F482" s="4">
        <v>555.09997599999997</v>
      </c>
      <c r="G482" s="3">
        <f>IF('Value at Risk'!$C$5=0,'Market Data - EQ'!B482-'Market Data - EQ'!B483,IF('Value at Risk'!$C$6=0,('Market Data - EQ'!B482-'Market Data - EQ'!B483)/'Market Data - EQ'!B483,LN('Market Data - EQ'!B482/'Market Data - EQ'!B483)))</f>
        <v>-3.8717256223637126E-3</v>
      </c>
      <c r="H482" s="3">
        <f>IF('Value at Risk'!$C$5=0,'Market Data - EQ'!C482-'Market Data - EQ'!C483,IF('Value at Risk'!$C$6=0,('Market Data - EQ'!C482-'Market Data - EQ'!C483)/'Market Data - EQ'!C483,LN('Market Data - EQ'!C482/'Market Data - EQ'!C483)))</f>
        <v>1.6541362678696656E-4</v>
      </c>
      <c r="I482" s="3">
        <f>IF('Value at Risk'!$C$5=0,'Market Data - EQ'!D482-'Market Data - EQ'!D483,IF('Value at Risk'!$C$6=0,('Market Data - EQ'!D482-'Market Data - EQ'!D483)/'Market Data - EQ'!D483,LN('Market Data - EQ'!D482/'Market Data - EQ'!D483)))</f>
        <v>2.6494384491114749E-2</v>
      </c>
      <c r="J482" s="3">
        <f>IF('Value at Risk'!$C$5=0,'Market Data - EQ'!E482-'Market Data - EQ'!E483,IF('Value at Risk'!$C$6=0,('Market Data - EQ'!E482-'Market Data - EQ'!E483)/'Market Data - EQ'!E483,LN('Market Data - EQ'!E482/'Market Data - EQ'!E483)))</f>
        <v>2.9112220533730371E-3</v>
      </c>
      <c r="K482" s="3">
        <f>IF('Value at Risk'!$C$5=0,'Market Data - EQ'!F482-'Market Data - EQ'!F483,IF('Value at Risk'!$C$6=0,('Market Data - EQ'!F482-'Market Data - EQ'!F483)/'Market Data - EQ'!F483,LN('Market Data - EQ'!F482/'Market Data - EQ'!F483)))</f>
        <v>-6.5324814317673924E-3</v>
      </c>
      <c r="L482" s="8">
        <f t="shared" si="7"/>
        <v>3.8333626234287295E-3</v>
      </c>
    </row>
    <row r="483" spans="1:12" x14ac:dyDescent="0.25">
      <c r="A483" s="5">
        <v>43111</v>
      </c>
      <c r="B483" s="4">
        <v>936.27502400000003</v>
      </c>
      <c r="C483" s="4">
        <v>302.20001200000002</v>
      </c>
      <c r="D483" s="4">
        <v>309.5</v>
      </c>
      <c r="E483" s="4">
        <v>1700.3000489999999</v>
      </c>
      <c r="F483" s="4">
        <v>558.75</v>
      </c>
      <c r="G483" s="3">
        <f>IF('Value at Risk'!$C$5=0,'Market Data - EQ'!B483-'Market Data - EQ'!B484,IF('Value at Risk'!$C$6=0,('Market Data - EQ'!B483-'Market Data - EQ'!B484)/'Market Data - EQ'!B484,LN('Market Data - EQ'!B483/'Market Data - EQ'!B484)))</f>
        <v>4.479184752173045E-3</v>
      </c>
      <c r="H483" s="3">
        <f>IF('Value at Risk'!$C$5=0,'Market Data - EQ'!C483-'Market Data - EQ'!C484,IF('Value at Risk'!$C$6=0,('Market Data - EQ'!C483-'Market Data - EQ'!C484)/'Market Data - EQ'!C484,LN('Market Data - EQ'!C483/'Market Data - EQ'!C484)))</f>
        <v>3.6532911925614758E-3</v>
      </c>
      <c r="I483" s="3">
        <f>IF('Value at Risk'!$C$5=0,'Market Data - EQ'!D483-'Market Data - EQ'!D484,IF('Value at Risk'!$C$6=0,('Market Data - EQ'!D483-'Market Data - EQ'!D484)/'Market Data - EQ'!D484,LN('Market Data - EQ'!D483/'Market Data - EQ'!D484)))</f>
        <v>-8.0128205128205121E-3</v>
      </c>
      <c r="J483" s="3">
        <f>IF('Value at Risk'!$C$5=0,'Market Data - EQ'!E483-'Market Data - EQ'!E484,IF('Value at Risk'!$C$6=0,('Market Data - EQ'!E483-'Market Data - EQ'!E484)/'Market Data - EQ'!E484,LN('Market Data - EQ'!E483/'Market Data - EQ'!E484)))</f>
        <v>-1.9491336986213085E-2</v>
      </c>
      <c r="K483" s="3">
        <f>IF('Value at Risk'!$C$5=0,'Market Data - EQ'!F483-'Market Data - EQ'!F484,IF('Value at Risk'!$C$6=0,('Market Data - EQ'!F483-'Market Data - EQ'!F484)/'Market Data - EQ'!F484,LN('Market Data - EQ'!F483/'Market Data - EQ'!F484)))</f>
        <v>-7.1961408783825075E-3</v>
      </c>
      <c r="L483" s="8">
        <f t="shared" si="7"/>
        <v>-5.3135644865363162E-3</v>
      </c>
    </row>
    <row r="484" spans="1:12" x14ac:dyDescent="0.25">
      <c r="A484" s="5">
        <v>43110</v>
      </c>
      <c r="B484" s="4">
        <v>932.09997599999997</v>
      </c>
      <c r="C484" s="4">
        <v>301.10000600000001</v>
      </c>
      <c r="D484" s="4">
        <v>312</v>
      </c>
      <c r="E484" s="4">
        <v>1734.099976</v>
      </c>
      <c r="F484" s="4">
        <v>562.79998799999998</v>
      </c>
      <c r="G484" s="3">
        <f>IF('Value at Risk'!$C$5=0,'Market Data - EQ'!B484-'Market Data - EQ'!B485,IF('Value at Risk'!$C$6=0,('Market Data - EQ'!B484-'Market Data - EQ'!B485)/'Market Data - EQ'!B485,LN('Market Data - EQ'!B484/'Market Data - EQ'!B485)))</f>
        <v>2.6828352893577795E-4</v>
      </c>
      <c r="H484" s="3">
        <f>IF('Value at Risk'!$C$5=0,'Market Data - EQ'!C484-'Market Data - EQ'!C485,IF('Value at Risk'!$C$6=0,('Market Data - EQ'!C484-'Market Data - EQ'!C485)/'Market Data - EQ'!C485,LN('Market Data - EQ'!C484/'Market Data - EQ'!C485)))</f>
        <v>-1.0515879481401679E-2</v>
      </c>
      <c r="I484" s="3">
        <f>IF('Value at Risk'!$C$5=0,'Market Data - EQ'!D484-'Market Data - EQ'!D485,IF('Value at Risk'!$C$6=0,('Market Data - EQ'!D484-'Market Data - EQ'!D485)/'Market Data - EQ'!D485,LN('Market Data - EQ'!D484/'Market Data - EQ'!D485)))</f>
        <v>-1.9194049535623092E-3</v>
      </c>
      <c r="J484" s="3">
        <f>IF('Value at Risk'!$C$5=0,'Market Data - EQ'!E484-'Market Data - EQ'!E485,IF('Value at Risk'!$C$6=0,('Market Data - EQ'!E484-'Market Data - EQ'!E485)/'Market Data - EQ'!E485,LN('Market Data - EQ'!E484/'Market Data - EQ'!E485)))</f>
        <v>5.2461822804771418E-3</v>
      </c>
      <c r="K484" s="3">
        <f>IF('Value at Risk'!$C$5=0,'Market Data - EQ'!F484-'Market Data - EQ'!F485,IF('Value at Risk'!$C$6=0,('Market Data - EQ'!F484-'Market Data - EQ'!F485)/'Market Data - EQ'!F485,LN('Market Data - EQ'!F484/'Market Data - EQ'!F485)))</f>
        <v>-4.4224306617179692E-3</v>
      </c>
      <c r="L484" s="8">
        <f t="shared" si="7"/>
        <v>-2.2686498574538078E-3</v>
      </c>
    </row>
    <row r="485" spans="1:12" x14ac:dyDescent="0.25">
      <c r="A485" s="5">
        <v>43109</v>
      </c>
      <c r="B485" s="4">
        <v>931.84997599999997</v>
      </c>
      <c r="C485" s="4">
        <v>304.29998799999998</v>
      </c>
      <c r="D485" s="4">
        <v>312.60000600000001</v>
      </c>
      <c r="E485" s="4">
        <v>1725.0500489999999</v>
      </c>
      <c r="F485" s="4">
        <v>565.29998799999998</v>
      </c>
      <c r="G485" s="3">
        <f>IF('Value at Risk'!$C$5=0,'Market Data - EQ'!B485-'Market Data - EQ'!B486,IF('Value at Risk'!$C$6=0,('Market Data - EQ'!B485-'Market Data - EQ'!B486)/'Market Data - EQ'!B486,LN('Market Data - EQ'!B485/'Market Data - EQ'!B486)))</f>
        <v>1.6661163280591001E-3</v>
      </c>
      <c r="H485" s="3">
        <f>IF('Value at Risk'!$C$5=0,'Market Data - EQ'!C485-'Market Data - EQ'!C486,IF('Value at Risk'!$C$6=0,('Market Data - EQ'!C485-'Market Data - EQ'!C486)/'Market Data - EQ'!C486,LN('Market Data - EQ'!C485/'Market Data - EQ'!C486)))</f>
        <v>-4.9051669681556692E-3</v>
      </c>
      <c r="I485" s="3">
        <f>IF('Value at Risk'!$C$5=0,'Market Data - EQ'!D485-'Market Data - EQ'!D486,IF('Value at Risk'!$C$6=0,('Market Data - EQ'!D485-'Market Data - EQ'!D486)/'Market Data - EQ'!D486,LN('Market Data - EQ'!D485/'Market Data - EQ'!D486)))</f>
        <v>-4.9339106465174244E-3</v>
      </c>
      <c r="J485" s="3">
        <f>IF('Value at Risk'!$C$5=0,'Market Data - EQ'!E485-'Market Data - EQ'!E486,IF('Value at Risk'!$C$6=0,('Market Data - EQ'!E485-'Market Data - EQ'!E486)/'Market Data - EQ'!E486,LN('Market Data - EQ'!E485/'Market Data - EQ'!E486)))</f>
        <v>2.9943746311616505E-3</v>
      </c>
      <c r="K485" s="3">
        <f>IF('Value at Risk'!$C$5=0,'Market Data - EQ'!F485-'Market Data - EQ'!F486,IF('Value at Risk'!$C$6=0,('Market Data - EQ'!F485-'Market Data - EQ'!F486)/'Market Data - EQ'!F486,LN('Market Data - EQ'!F485/'Market Data - EQ'!F486)))</f>
        <v>-2.6531788277693119E-4</v>
      </c>
      <c r="L485" s="8">
        <f t="shared" si="7"/>
        <v>-1.0887809076458549E-3</v>
      </c>
    </row>
    <row r="486" spans="1:12" x14ac:dyDescent="0.25">
      <c r="A486" s="5">
        <v>43108</v>
      </c>
      <c r="B486" s="4">
        <v>930.29998799999998</v>
      </c>
      <c r="C486" s="4">
        <v>305.79998799999998</v>
      </c>
      <c r="D486" s="4">
        <v>314.14999399999999</v>
      </c>
      <c r="E486" s="4">
        <v>1719.900024</v>
      </c>
      <c r="F486" s="4">
        <v>565.45001200000002</v>
      </c>
      <c r="G486" s="3">
        <f>IF('Value at Risk'!$C$5=0,'Market Data - EQ'!B486-'Market Data - EQ'!B487,IF('Value at Risk'!$C$6=0,('Market Data - EQ'!B486-'Market Data - EQ'!B487)/'Market Data - EQ'!B487,LN('Market Data - EQ'!B486/'Market Data - EQ'!B487)))</f>
        <v>-1.6097875287802645E-3</v>
      </c>
      <c r="H486" s="3">
        <f>IF('Value at Risk'!$C$5=0,'Market Data - EQ'!C486-'Market Data - EQ'!C487,IF('Value at Risk'!$C$6=0,('Market Data - EQ'!C486-'Market Data - EQ'!C487)/'Market Data - EQ'!C487,LN('Market Data - EQ'!C486/'Market Data - EQ'!C487)))</f>
        <v>-1.7953908576062595E-3</v>
      </c>
      <c r="I486" s="3">
        <f>IF('Value at Risk'!$C$5=0,'Market Data - EQ'!D486-'Market Data - EQ'!D487,IF('Value at Risk'!$C$6=0,('Market Data - EQ'!D486-'Market Data - EQ'!D487)/'Market Data - EQ'!D487,LN('Market Data - EQ'!D486/'Market Data - EQ'!D487)))</f>
        <v>3.9948866218258864E-3</v>
      </c>
      <c r="J486" s="3">
        <f>IF('Value at Risk'!$C$5=0,'Market Data - EQ'!E486-'Market Data - EQ'!E487,IF('Value at Risk'!$C$6=0,('Market Data - EQ'!E486-'Market Data - EQ'!E487)/'Market Data - EQ'!E487,LN('Market Data - EQ'!E486/'Market Data - EQ'!E487)))</f>
        <v>1.2778279134457456E-2</v>
      </c>
      <c r="K486" s="3">
        <f>IF('Value at Risk'!$C$5=0,'Market Data - EQ'!F486-'Market Data - EQ'!F487,IF('Value at Risk'!$C$6=0,('Market Data - EQ'!F486-'Market Data - EQ'!F487)/'Market Data - EQ'!F487,LN('Market Data - EQ'!F486/'Market Data - EQ'!F487)))</f>
        <v>3.9059245450510701E-3</v>
      </c>
      <c r="L486" s="8">
        <f t="shared" si="7"/>
        <v>3.4547823829895775E-3</v>
      </c>
    </row>
    <row r="487" spans="1:12" x14ac:dyDescent="0.25">
      <c r="A487" s="5">
        <v>43105</v>
      </c>
      <c r="B487" s="4">
        <v>931.79998799999998</v>
      </c>
      <c r="C487" s="4">
        <v>306.35000600000001</v>
      </c>
      <c r="D487" s="4">
        <v>312.89999399999999</v>
      </c>
      <c r="E487" s="4">
        <v>1698.1999510000001</v>
      </c>
      <c r="F487" s="4">
        <v>563.25</v>
      </c>
      <c r="G487" s="3">
        <f>IF('Value at Risk'!$C$5=0,'Market Data - EQ'!B487-'Market Data - EQ'!B488,IF('Value at Risk'!$C$6=0,('Market Data - EQ'!B487-'Market Data - EQ'!B488)/'Market Data - EQ'!B488,LN('Market Data - EQ'!B487/'Market Data - EQ'!B488)))</f>
        <v>1.9893284328491084E-3</v>
      </c>
      <c r="H487" s="3">
        <f>IF('Value at Risk'!$C$5=0,'Market Data - EQ'!C487-'Market Data - EQ'!C488,IF('Value at Risk'!$C$6=0,('Market Data - EQ'!C487-'Market Data - EQ'!C488)/'Market Data - EQ'!C488,LN('Market Data - EQ'!C487/'Market Data - EQ'!C488)))</f>
        <v>-6.9691863857374147E-3</v>
      </c>
      <c r="I487" s="3">
        <f>IF('Value at Risk'!$C$5=0,'Market Data - EQ'!D487-'Market Data - EQ'!D488,IF('Value at Risk'!$C$6=0,('Market Data - EQ'!D487-'Market Data - EQ'!D488)/'Market Data - EQ'!D488,LN('Market Data - EQ'!D487/'Market Data - EQ'!D488)))</f>
        <v>-5.7197900583493546E-3</v>
      </c>
      <c r="J487" s="3">
        <f>IF('Value at Risk'!$C$5=0,'Market Data - EQ'!E487-'Market Data - EQ'!E488,IF('Value at Risk'!$C$6=0,('Market Data - EQ'!E487-'Market Data - EQ'!E488)/'Market Data - EQ'!E488,LN('Market Data - EQ'!E487/'Market Data - EQ'!E488)))</f>
        <v>3.1337286379263307E-2</v>
      </c>
      <c r="K487" s="3">
        <f>IF('Value at Risk'!$C$5=0,'Market Data - EQ'!F487-'Market Data - EQ'!F488,IF('Value at Risk'!$C$6=0,('Market Data - EQ'!F487-'Market Data - EQ'!F488)/'Market Data - EQ'!F488,LN('Market Data - EQ'!F487/'Market Data - EQ'!F488)))</f>
        <v>5.9831681664653212E-3</v>
      </c>
      <c r="L487" s="8">
        <f t="shared" si="7"/>
        <v>5.3241613068981935E-3</v>
      </c>
    </row>
    <row r="488" spans="1:12" x14ac:dyDescent="0.25">
      <c r="A488" s="5">
        <v>43104</v>
      </c>
      <c r="B488" s="4">
        <v>929.95001200000002</v>
      </c>
      <c r="C488" s="4">
        <v>308.5</v>
      </c>
      <c r="D488" s="4">
        <v>314.70001200000002</v>
      </c>
      <c r="E488" s="4">
        <v>1646.599976</v>
      </c>
      <c r="F488" s="4">
        <v>559.90002400000003</v>
      </c>
      <c r="G488" s="3">
        <f>IF('Value at Risk'!$C$5=0,'Market Data - EQ'!B488-'Market Data - EQ'!B489,IF('Value at Risk'!$C$6=0,('Market Data - EQ'!B488-'Market Data - EQ'!B489)/'Market Data - EQ'!B489,LN('Market Data - EQ'!B488/'Market Data - EQ'!B489)))</f>
        <v>3.9133133112463124E-3</v>
      </c>
      <c r="H488" s="3">
        <f>IF('Value at Risk'!$C$5=0,'Market Data - EQ'!C488-'Market Data - EQ'!C489,IF('Value at Risk'!$C$6=0,('Market Data - EQ'!C488-'Market Data - EQ'!C489)/'Market Data - EQ'!C489,LN('Market Data - EQ'!C488/'Market Data - EQ'!C489)))</f>
        <v>1.8656080198327592E-2</v>
      </c>
      <c r="I488" s="3">
        <f>IF('Value at Risk'!$C$5=0,'Market Data - EQ'!D488-'Market Data - EQ'!D489,IF('Value at Risk'!$C$6=0,('Market Data - EQ'!D488-'Market Data - EQ'!D489)/'Market Data - EQ'!D489,LN('Market Data - EQ'!D488/'Market Data - EQ'!D489)))</f>
        <v>-9.52342857142809E-4</v>
      </c>
      <c r="J488" s="3">
        <f>IF('Value at Risk'!$C$5=0,'Market Data - EQ'!E488-'Market Data - EQ'!E489,IF('Value at Risk'!$C$6=0,('Market Data - EQ'!E488-'Market Data - EQ'!E489)/'Market Data - EQ'!E489,LN('Market Data - EQ'!E488/'Market Data - EQ'!E489)))</f>
        <v>1.002912191381688E-2</v>
      </c>
      <c r="K488" s="3">
        <f>IF('Value at Risk'!$C$5=0,'Market Data - EQ'!F488-'Market Data - EQ'!F489,IF('Value at Risk'!$C$6=0,('Market Data - EQ'!F488-'Market Data - EQ'!F489)/'Market Data - EQ'!F489,LN('Market Data - EQ'!F488/'Market Data - EQ'!F489)))</f>
        <v>-9.8133283651349944E-4</v>
      </c>
      <c r="L488" s="8">
        <f t="shared" si="7"/>
        <v>6.1329679459468951E-3</v>
      </c>
    </row>
    <row r="489" spans="1:12" x14ac:dyDescent="0.25">
      <c r="A489" s="5">
        <v>43103</v>
      </c>
      <c r="B489" s="4">
        <v>926.32501200000002</v>
      </c>
      <c r="C489" s="4">
        <v>302.85000600000001</v>
      </c>
      <c r="D489" s="4">
        <v>315</v>
      </c>
      <c r="E489" s="4">
        <v>1630.25</v>
      </c>
      <c r="F489" s="4">
        <v>560.45001200000002</v>
      </c>
      <c r="G489" s="3">
        <f>IF('Value at Risk'!$C$5=0,'Market Data - EQ'!B489-'Market Data - EQ'!B490,IF('Value at Risk'!$C$6=0,('Market Data - EQ'!B489-'Market Data - EQ'!B490)/'Market Data - EQ'!B490,LN('Market Data - EQ'!B489/'Market Data - EQ'!B490)))</f>
        <v>-1.0521511604409549E-2</v>
      </c>
      <c r="H489" s="3">
        <f>IF('Value at Risk'!$C$5=0,'Market Data - EQ'!C489-'Market Data - EQ'!C490,IF('Value at Risk'!$C$6=0,('Market Data - EQ'!C489-'Market Data - EQ'!C490)/'Market Data - EQ'!C490,LN('Market Data - EQ'!C489/'Market Data - EQ'!C490)))</f>
        <v>-1.3190239076669164E-3</v>
      </c>
      <c r="I489" s="3">
        <f>IF('Value at Risk'!$C$5=0,'Market Data - EQ'!D489-'Market Data - EQ'!D490,IF('Value at Risk'!$C$6=0,('Market Data - EQ'!D489-'Market Data - EQ'!D490)/'Market Data - EQ'!D490,LN('Market Data - EQ'!D489/'Market Data - EQ'!D490)))</f>
        <v>1.7113296075687543E-2</v>
      </c>
      <c r="J489" s="3">
        <f>IF('Value at Risk'!$C$5=0,'Market Data - EQ'!E489-'Market Data - EQ'!E490,IF('Value at Risk'!$C$6=0,('Market Data - EQ'!E489-'Market Data - EQ'!E490)/'Market Data - EQ'!E490,LN('Market Data - EQ'!E489/'Market Data - EQ'!E490)))</f>
        <v>-8.3335572300522274E-3</v>
      </c>
      <c r="K489" s="3">
        <f>IF('Value at Risk'!$C$5=0,'Market Data - EQ'!F489-'Market Data - EQ'!F490,IF('Value at Risk'!$C$6=0,('Market Data - EQ'!F489-'Market Data - EQ'!F490)/'Market Data - EQ'!F490,LN('Market Data - EQ'!F489/'Market Data - EQ'!F490)))</f>
        <v>1.6979660411081594E-3</v>
      </c>
      <c r="L489" s="8">
        <f t="shared" si="7"/>
        <v>-2.725661250665981E-4</v>
      </c>
    </row>
    <row r="490" spans="1:12" x14ac:dyDescent="0.25">
      <c r="A490" s="5">
        <v>43102</v>
      </c>
      <c r="B490" s="4">
        <v>936.17498799999998</v>
      </c>
      <c r="C490" s="4">
        <v>303.25</v>
      </c>
      <c r="D490" s="4">
        <v>309.70001200000002</v>
      </c>
      <c r="E490" s="4">
        <v>1643.9499510000001</v>
      </c>
      <c r="F490" s="4">
        <v>559.5</v>
      </c>
      <c r="G490" s="3">
        <f>IF('Value at Risk'!$C$5=0,'Market Data - EQ'!B490-'Market Data - EQ'!B491,IF('Value at Risk'!$C$6=0,('Market Data - EQ'!B490-'Market Data - EQ'!B491)/'Market Data - EQ'!B491,LN('Market Data - EQ'!B490/'Market Data - EQ'!B491)))</f>
        <v>9.6252229711512368E-3</v>
      </c>
      <c r="H490" s="3">
        <f>IF('Value at Risk'!$C$5=0,'Market Data - EQ'!C490-'Market Data - EQ'!C491,IF('Value at Risk'!$C$6=0,('Market Data - EQ'!C490-'Market Data - EQ'!C491)/'Market Data - EQ'!C491,LN('Market Data - EQ'!C490/'Market Data - EQ'!C491)))</f>
        <v>-1.2536652311234431E-2</v>
      </c>
      <c r="I490" s="3">
        <f>IF('Value at Risk'!$C$5=0,'Market Data - EQ'!D490-'Market Data - EQ'!D491,IF('Value at Risk'!$C$6=0,('Market Data - EQ'!D490-'Market Data - EQ'!D491)/'Market Data - EQ'!D491,LN('Market Data - EQ'!D490/'Market Data - EQ'!D491)))</f>
        <v>-1.9335353632046214E-3</v>
      </c>
      <c r="J490" s="3">
        <f>IF('Value at Risk'!$C$5=0,'Market Data - EQ'!E490-'Market Data - EQ'!E491,IF('Value at Risk'!$C$6=0,('Market Data - EQ'!E490-'Market Data - EQ'!E491)/'Market Data - EQ'!E491,LN('Market Data - EQ'!E490/'Market Data - EQ'!E491)))</f>
        <v>1.2377975365379497E-2</v>
      </c>
      <c r="K490" s="3">
        <f>IF('Value at Risk'!$C$5=0,'Market Data - EQ'!F490-'Market Data - EQ'!F491,IF('Value at Risk'!$C$6=0,('Market Data - EQ'!F490-'Market Data - EQ'!F491)/'Market Data - EQ'!F491,LN('Market Data - EQ'!F490/'Market Data - EQ'!F491)))</f>
        <v>-1.0610079575596816E-2</v>
      </c>
      <c r="L490" s="8">
        <f t="shared" si="7"/>
        <v>-6.1541378270102702E-4</v>
      </c>
    </row>
    <row r="491" spans="1:12" x14ac:dyDescent="0.25">
      <c r="A491" s="5">
        <v>43101</v>
      </c>
      <c r="B491" s="4">
        <v>927.25</v>
      </c>
      <c r="C491" s="4">
        <v>307.10000600000001</v>
      </c>
      <c r="D491" s="4">
        <v>310.29998799999998</v>
      </c>
      <c r="E491" s="4">
        <v>1623.849976</v>
      </c>
      <c r="F491" s="4">
        <v>565.5</v>
      </c>
      <c r="G491" s="3">
        <f>IF('Value at Risk'!$C$5=0,'Market Data - EQ'!B491-'Market Data - EQ'!B492,IF('Value at Risk'!$C$6=0,('Market Data - EQ'!B491-'Market Data - EQ'!B492)/'Market Data - EQ'!B492,LN('Market Data - EQ'!B491/'Market Data - EQ'!B492)))</f>
        <v>-9.5599357885930211E-3</v>
      </c>
      <c r="H491" s="3">
        <f>IF('Value at Risk'!$C$5=0,'Market Data - EQ'!C491-'Market Data - EQ'!C492,IF('Value at Risk'!$C$6=0,('Market Data - EQ'!C491-'Market Data - EQ'!C492)/'Market Data - EQ'!C492,LN('Market Data - EQ'!C491/'Market Data - EQ'!C492)))</f>
        <v>-9.0351340890958039E-3</v>
      </c>
      <c r="I491" s="3">
        <f>IF('Value at Risk'!$C$5=0,'Market Data - EQ'!D491-'Market Data - EQ'!D492,IF('Value at Risk'!$C$6=0,('Market Data - EQ'!D491-'Market Data - EQ'!D492)/'Market Data - EQ'!D492,LN('Market Data - EQ'!D491/'Market Data - EQ'!D492)))</f>
        <v>-1.1783477707006417E-2</v>
      </c>
      <c r="J491" s="3">
        <f>IF('Value at Risk'!$C$5=0,'Market Data - EQ'!E491-'Market Data - EQ'!E492,IF('Value at Risk'!$C$6=0,('Market Data - EQ'!E491-'Market Data - EQ'!E492)/'Market Data - EQ'!E492,LN('Market Data - EQ'!E491/'Market Data - EQ'!E492)))</f>
        <v>-1.5191975035109866E-2</v>
      </c>
      <c r="K491" s="3">
        <f>IF('Value at Risk'!$C$5=0,'Market Data - EQ'!F491-'Market Data - EQ'!F492,IF('Value at Risk'!$C$6=0,('Market Data - EQ'!F491-'Market Data - EQ'!F492)/'Market Data - EQ'!F492,LN('Market Data - EQ'!F491/'Market Data - EQ'!F492)))</f>
        <v>2.7484492721315604E-3</v>
      </c>
      <c r="L491" s="8">
        <f t="shared" si="7"/>
        <v>-8.56441466953471E-3</v>
      </c>
    </row>
    <row r="492" spans="1:12" x14ac:dyDescent="0.25">
      <c r="A492" s="5">
        <v>43098</v>
      </c>
      <c r="B492" s="4">
        <v>936.20001200000002</v>
      </c>
      <c r="C492" s="4">
        <v>309.89999399999999</v>
      </c>
      <c r="D492" s="4">
        <v>314</v>
      </c>
      <c r="E492" s="4">
        <v>1648.900024</v>
      </c>
      <c r="F492" s="4">
        <v>563.95001200000002</v>
      </c>
      <c r="G492" s="3">
        <f>IF('Value at Risk'!$C$5=0,'Market Data - EQ'!B492-'Market Data - EQ'!B493,IF('Value at Risk'!$C$6=0,('Market Data - EQ'!B492-'Market Data - EQ'!B493)/'Market Data - EQ'!B493,LN('Market Data - EQ'!B492/'Market Data - EQ'!B493)))</f>
        <v>-3.0084523072305422E-3</v>
      </c>
      <c r="H492" s="3">
        <f>IF('Value at Risk'!$C$5=0,'Market Data - EQ'!C492-'Market Data - EQ'!C493,IF('Value at Risk'!$C$6=0,('Market Data - EQ'!C492-'Market Data - EQ'!C493)/'Market Data - EQ'!C493,LN('Market Data - EQ'!C492/'Market Data - EQ'!C493)))</f>
        <v>4.8638133241987033E-3</v>
      </c>
      <c r="I492" s="3">
        <f>IF('Value at Risk'!$C$5=0,'Market Data - EQ'!D492-'Market Data - EQ'!D493,IF('Value at Risk'!$C$6=0,('Market Data - EQ'!D492-'Market Data - EQ'!D493)/'Market Data - EQ'!D493,LN('Market Data - EQ'!D492/'Market Data - EQ'!D493)))</f>
        <v>-4.1230195035718963E-3</v>
      </c>
      <c r="J492" s="3">
        <f>IF('Value at Risk'!$C$5=0,'Market Data - EQ'!E492-'Market Data - EQ'!E493,IF('Value at Risk'!$C$6=0,('Market Data - EQ'!E492-'Market Data - EQ'!E493)/'Market Data - EQ'!E493,LN('Market Data - EQ'!E492/'Market Data - EQ'!E493)))</f>
        <v>-9.3909360841928685E-4</v>
      </c>
      <c r="K492" s="3">
        <f>IF('Value at Risk'!$C$5=0,'Market Data - EQ'!F492-'Market Data - EQ'!F493,IF('Value at Risk'!$C$6=0,('Market Data - EQ'!F492-'Market Data - EQ'!F493)/'Market Data - EQ'!F493,LN('Market Data - EQ'!F492/'Market Data - EQ'!F493)))</f>
        <v>3.1270068118280481E-2</v>
      </c>
      <c r="L492" s="8">
        <f t="shared" si="7"/>
        <v>5.6126632046514923E-3</v>
      </c>
    </row>
    <row r="493" spans="1:12" x14ac:dyDescent="0.25">
      <c r="A493" s="5">
        <v>43097</v>
      </c>
      <c r="B493" s="4">
        <v>939.02502400000003</v>
      </c>
      <c r="C493" s="4">
        <v>308.39999399999999</v>
      </c>
      <c r="D493" s="4">
        <v>315.29998799999998</v>
      </c>
      <c r="E493" s="4">
        <v>1650.4499510000001</v>
      </c>
      <c r="F493" s="4">
        <v>546.84997599999997</v>
      </c>
      <c r="G493" s="3">
        <f>IF('Value at Risk'!$C$5=0,'Market Data - EQ'!B493-'Market Data - EQ'!B494,IF('Value at Risk'!$C$6=0,('Market Data - EQ'!B493-'Market Data - EQ'!B494)/'Market Data - EQ'!B494,LN('Market Data - EQ'!B493/'Market Data - EQ'!B494)))</f>
        <v>1.1471683317624914E-2</v>
      </c>
      <c r="H493" s="3">
        <f>IF('Value at Risk'!$C$5=0,'Market Data - EQ'!C493-'Market Data - EQ'!C494,IF('Value at Risk'!$C$6=0,('Market Data - EQ'!C493-'Market Data - EQ'!C494)/'Market Data - EQ'!C494,LN('Market Data - EQ'!C493/'Market Data - EQ'!C494)))</f>
        <v>-2.0485983411415325E-2</v>
      </c>
      <c r="I493" s="3">
        <f>IF('Value at Risk'!$C$5=0,'Market Data - EQ'!D493-'Market Data - EQ'!D494,IF('Value at Risk'!$C$6=0,('Market Data - EQ'!D493-'Market Data - EQ'!D494)/'Market Data - EQ'!D494,LN('Market Data - EQ'!D493/'Market Data - EQ'!D494)))</f>
        <v>7.9923276723399359E-3</v>
      </c>
      <c r="J493" s="3">
        <f>IF('Value at Risk'!$C$5=0,'Market Data - EQ'!E493-'Market Data - EQ'!E494,IF('Value at Risk'!$C$6=0,('Market Data - EQ'!E493-'Market Data - EQ'!E494)/'Market Data - EQ'!E494,LN('Market Data - EQ'!E493/'Market Data - EQ'!E494)))</f>
        <v>-3.93692089787732E-4</v>
      </c>
      <c r="K493" s="3">
        <f>IF('Value at Risk'!$C$5=0,'Market Data - EQ'!F493-'Market Data - EQ'!F494,IF('Value at Risk'!$C$6=0,('Market Data - EQ'!F493-'Market Data - EQ'!F494)/'Market Data - EQ'!F494,LN('Market Data - EQ'!F493/'Market Data - EQ'!F494)))</f>
        <v>-1.3974035945504622E-2</v>
      </c>
      <c r="L493" s="8">
        <f t="shared" si="7"/>
        <v>-3.0779400913485658E-3</v>
      </c>
    </row>
    <row r="494" spans="1:12" x14ac:dyDescent="0.25">
      <c r="A494" s="5">
        <v>43096</v>
      </c>
      <c r="B494" s="4">
        <v>928.375</v>
      </c>
      <c r="C494" s="4">
        <v>314.85000600000001</v>
      </c>
      <c r="D494" s="4">
        <v>312.79998799999998</v>
      </c>
      <c r="E494" s="4">
        <v>1651.099976</v>
      </c>
      <c r="F494" s="4">
        <v>554.59997599999997</v>
      </c>
      <c r="G494" s="3">
        <f>IF('Value at Risk'!$C$5=0,'Market Data - EQ'!B494-'Market Data - EQ'!B495,IF('Value at Risk'!$C$6=0,('Market Data - EQ'!B494-'Market Data - EQ'!B495)/'Market Data - EQ'!B495,LN('Market Data - EQ'!B494/'Market Data - EQ'!B495)))</f>
        <v>-6.2086740434116449E-3</v>
      </c>
      <c r="H494" s="3">
        <f>IF('Value at Risk'!$C$5=0,'Market Data - EQ'!C494-'Market Data - EQ'!C495,IF('Value at Risk'!$C$6=0,('Market Data - EQ'!C494-'Market Data - EQ'!C495)/'Market Data - EQ'!C495,LN('Market Data - EQ'!C494/'Market Data - EQ'!C495)))</f>
        <v>-7.2520512171284635E-3</v>
      </c>
      <c r="I494" s="3">
        <f>IF('Value at Risk'!$C$5=0,'Market Data - EQ'!D494-'Market Data - EQ'!D495,IF('Value at Risk'!$C$6=0,('Market Data - EQ'!D494-'Market Data - EQ'!D495)/'Market Data - EQ'!D495,LN('Market Data - EQ'!D494/'Market Data - EQ'!D495)))</f>
        <v>-1.6815986487178775E-2</v>
      </c>
      <c r="J494" s="3">
        <f>IF('Value at Risk'!$C$5=0,'Market Data - EQ'!E494-'Market Data - EQ'!E495,IF('Value at Risk'!$C$6=0,('Market Data - EQ'!E494-'Market Data - EQ'!E495)/'Market Data - EQ'!E495,LN('Market Data - EQ'!E494/'Market Data - EQ'!E495)))</f>
        <v>-7.8716352515984939E-3</v>
      </c>
      <c r="K494" s="3">
        <f>IF('Value at Risk'!$C$5=0,'Market Data - EQ'!F494-'Market Data - EQ'!F495,IF('Value at Risk'!$C$6=0,('Market Data - EQ'!F494-'Market Data - EQ'!F495)/'Market Data - EQ'!F495,LN('Market Data - EQ'!F494/'Market Data - EQ'!F495)))</f>
        <v>-7.2076396396401866E-4</v>
      </c>
      <c r="L494" s="8">
        <f t="shared" si="7"/>
        <v>-7.7738221926562795E-3</v>
      </c>
    </row>
    <row r="495" spans="1:12" x14ac:dyDescent="0.25">
      <c r="A495" s="5">
        <v>43095</v>
      </c>
      <c r="B495" s="4">
        <v>934.17498799999998</v>
      </c>
      <c r="C495" s="4">
        <v>317.14999399999999</v>
      </c>
      <c r="D495" s="4">
        <v>318.14999399999999</v>
      </c>
      <c r="E495" s="4">
        <v>1664.1999510000001</v>
      </c>
      <c r="F495" s="4">
        <v>555</v>
      </c>
      <c r="G495" s="3">
        <f>IF('Value at Risk'!$C$5=0,'Market Data - EQ'!B495-'Market Data - EQ'!B496,IF('Value at Risk'!$C$6=0,('Market Data - EQ'!B495-'Market Data - EQ'!B496)/'Market Data - EQ'!B496,LN('Market Data - EQ'!B495/'Market Data - EQ'!B496)))</f>
        <v>-4.4228001459264421E-3</v>
      </c>
      <c r="H495" s="3">
        <f>IF('Value at Risk'!$C$5=0,'Market Data - EQ'!C495-'Market Data - EQ'!C496,IF('Value at Risk'!$C$6=0,('Market Data - EQ'!C495-'Market Data - EQ'!C496)/'Market Data - EQ'!C496,LN('Market Data - EQ'!C495/'Market Data - EQ'!C496)))</f>
        <v>-8.441494292171484E-3</v>
      </c>
      <c r="I495" s="3">
        <f>IF('Value at Risk'!$C$5=0,'Market Data - EQ'!D495-'Market Data - EQ'!D496,IF('Value at Risk'!$C$6=0,('Market Data - EQ'!D495-'Market Data - EQ'!D496)/'Market Data - EQ'!D496,LN('Market Data - EQ'!D495/'Market Data - EQ'!D496)))</f>
        <v>4.895729534509184E-3</v>
      </c>
      <c r="J495" s="3">
        <f>IF('Value at Risk'!$C$5=0,'Market Data - EQ'!E495-'Market Data - EQ'!E496,IF('Value at Risk'!$C$6=0,('Market Data - EQ'!E495-'Market Data - EQ'!E496)/'Market Data - EQ'!E496,LN('Market Data - EQ'!E495/'Market Data - EQ'!E496)))</f>
        <v>7.4764507548717527E-3</v>
      </c>
      <c r="K495" s="3">
        <f>IF('Value at Risk'!$C$5=0,'Market Data - EQ'!F495-'Market Data - EQ'!F496,IF('Value at Risk'!$C$6=0,('Market Data - EQ'!F495-'Market Data - EQ'!F496)/'Market Data - EQ'!F496,LN('Market Data - EQ'!F495/'Market Data - EQ'!F496)))</f>
        <v>2.5289451963416095E-3</v>
      </c>
      <c r="L495" s="8">
        <f t="shared" si="7"/>
        <v>4.0736620952492388E-4</v>
      </c>
    </row>
    <row r="496" spans="1:12" x14ac:dyDescent="0.25">
      <c r="A496" s="5">
        <v>43091</v>
      </c>
      <c r="B496" s="4">
        <v>938.32501200000002</v>
      </c>
      <c r="C496" s="4">
        <v>319.85000600000001</v>
      </c>
      <c r="D496" s="4">
        <v>316.60000600000001</v>
      </c>
      <c r="E496" s="4">
        <v>1651.849976</v>
      </c>
      <c r="F496" s="4">
        <v>553.59997599999997</v>
      </c>
      <c r="G496" s="3">
        <f>IF('Value at Risk'!$C$5=0,'Market Data - EQ'!B496-'Market Data - EQ'!B497,IF('Value at Risk'!$C$6=0,('Market Data - EQ'!B496-'Market Data - EQ'!B497)/'Market Data - EQ'!B497,LN('Market Data - EQ'!B496/'Market Data - EQ'!B497)))</f>
        <v>4.4692906842980339E-3</v>
      </c>
      <c r="H496" s="3">
        <f>IF('Value at Risk'!$C$5=0,'Market Data - EQ'!C496-'Market Data - EQ'!C497,IF('Value at Risk'!$C$6=0,('Market Data - EQ'!C496-'Market Data - EQ'!C497)/'Market Data - EQ'!C497,LN('Market Data - EQ'!C496/'Market Data - EQ'!C497)))</f>
        <v>9.786917127071847E-3</v>
      </c>
      <c r="I496" s="3">
        <f>IF('Value at Risk'!$C$5=0,'Market Data - EQ'!D496-'Market Data - EQ'!D497,IF('Value at Risk'!$C$6=0,('Market Data - EQ'!D496-'Market Data - EQ'!D497)/'Market Data - EQ'!D497,LN('Market Data - EQ'!D496/'Market Data - EQ'!D497)))</f>
        <v>3.645566512135661E-3</v>
      </c>
      <c r="J496" s="3">
        <f>IF('Value at Risk'!$C$5=0,'Market Data - EQ'!E496-'Market Data - EQ'!E497,IF('Value at Risk'!$C$6=0,('Market Data - EQ'!E496-'Market Data - EQ'!E497)/'Market Data - EQ'!E497,LN('Market Data - EQ'!E496/'Market Data - EQ'!E497)))</f>
        <v>-2.6264793676473702E-3</v>
      </c>
      <c r="K496" s="3">
        <f>IF('Value at Risk'!$C$5=0,'Market Data - EQ'!F496-'Market Data - EQ'!F497,IF('Value at Risk'!$C$6=0,('Market Data - EQ'!F496-'Market Data - EQ'!F497)/'Market Data - EQ'!F497,LN('Market Data - EQ'!F496/'Market Data - EQ'!F497)))</f>
        <v>8.4706510581148402E-3</v>
      </c>
      <c r="L496" s="8">
        <f t="shared" si="7"/>
        <v>4.7491892027946023E-3</v>
      </c>
    </row>
    <row r="497" spans="1:12" x14ac:dyDescent="0.25">
      <c r="A497" s="5">
        <v>43090</v>
      </c>
      <c r="B497" s="4">
        <v>934.15002400000003</v>
      </c>
      <c r="C497" s="4">
        <v>316.75</v>
      </c>
      <c r="D497" s="4">
        <v>315.45001200000002</v>
      </c>
      <c r="E497" s="4">
        <v>1656.1999510000001</v>
      </c>
      <c r="F497" s="4">
        <v>548.95001200000002</v>
      </c>
      <c r="G497" s="3">
        <f>IF('Value at Risk'!$C$5=0,'Market Data - EQ'!B497-'Market Data - EQ'!B498,IF('Value at Risk'!$C$6=0,('Market Data - EQ'!B497-'Market Data - EQ'!B498)/'Market Data - EQ'!B498,LN('Market Data - EQ'!B497/'Market Data - EQ'!B498)))</f>
        <v>8.0306184231823956E-5</v>
      </c>
      <c r="H497" s="3">
        <f>IF('Value at Risk'!$C$5=0,'Market Data - EQ'!C497-'Market Data - EQ'!C498,IF('Value at Risk'!$C$6=0,('Market Data - EQ'!C497-'Market Data - EQ'!C498)/'Market Data - EQ'!C498,LN('Market Data - EQ'!C497/'Market Data - EQ'!C498)))</f>
        <v>-2.3622047244094488E-3</v>
      </c>
      <c r="I497" s="3">
        <f>IF('Value at Risk'!$C$5=0,'Market Data - EQ'!D497-'Market Data - EQ'!D498,IF('Value at Risk'!$C$6=0,('Market Data - EQ'!D497-'Market Data - EQ'!D498)/'Market Data - EQ'!D498,LN('Market Data - EQ'!D497/'Market Data - EQ'!D498)))</f>
        <v>-1.1082204347644549E-3</v>
      </c>
      <c r="J497" s="3">
        <f>IF('Value at Risk'!$C$5=0,'Market Data - EQ'!E497-'Market Data - EQ'!E498,IF('Value at Risk'!$C$6=0,('Market Data - EQ'!E497-'Market Data - EQ'!E498)/'Market Data - EQ'!E498,LN('Market Data - EQ'!E497/'Market Data - EQ'!E498)))</f>
        <v>-2.8298349883099133E-3</v>
      </c>
      <c r="K497" s="3">
        <f>IF('Value at Risk'!$C$5=0,'Market Data - EQ'!F497-'Market Data - EQ'!F498,IF('Value at Risk'!$C$6=0,('Market Data - EQ'!F497-'Market Data - EQ'!F498)/'Market Data - EQ'!F498,LN('Market Data - EQ'!F497/'Market Data - EQ'!F498)))</f>
        <v>-1.0008995491433697E-2</v>
      </c>
      <c r="L497" s="8">
        <f t="shared" si="7"/>
        <v>-3.2457898909371381E-3</v>
      </c>
    </row>
    <row r="498" spans="1:12" x14ac:dyDescent="0.25">
      <c r="A498" s="5">
        <v>43089</v>
      </c>
      <c r="B498" s="4">
        <v>934.07501200000002</v>
      </c>
      <c r="C498" s="4">
        <v>317.5</v>
      </c>
      <c r="D498" s="4">
        <v>315.79998799999998</v>
      </c>
      <c r="E498" s="4">
        <v>1660.900024</v>
      </c>
      <c r="F498" s="4">
        <v>554.5</v>
      </c>
      <c r="G498" s="3">
        <f>IF('Value at Risk'!$C$5=0,'Market Data - EQ'!B498-'Market Data - EQ'!B499,IF('Value at Risk'!$C$6=0,('Market Data - EQ'!B498-'Market Data - EQ'!B499)/'Market Data - EQ'!B499,LN('Market Data - EQ'!B498/'Market Data - EQ'!B499)))</f>
        <v>-8.6760286548155843E-3</v>
      </c>
      <c r="H498" s="3">
        <f>IF('Value at Risk'!$C$5=0,'Market Data - EQ'!C498-'Market Data - EQ'!C499,IF('Value at Risk'!$C$6=0,('Market Data - EQ'!C498-'Market Data - EQ'!C499)/'Market Data - EQ'!C499,LN('Market Data - EQ'!C498/'Market Data - EQ'!C499)))</f>
        <v>-7.1919577432879231E-3</v>
      </c>
      <c r="I498" s="3">
        <f>IF('Value at Risk'!$C$5=0,'Market Data - EQ'!D498-'Market Data - EQ'!D499,IF('Value at Risk'!$C$6=0,('Market Data - EQ'!D498-'Market Data - EQ'!D499)/'Market Data - EQ'!D499,LN('Market Data - EQ'!D498/'Market Data - EQ'!D499)))</f>
        <v>6.6942171490894601E-3</v>
      </c>
      <c r="J498" s="3">
        <f>IF('Value at Risk'!$C$5=0,'Market Data - EQ'!E498-'Market Data - EQ'!E499,IF('Value at Risk'!$C$6=0,('Market Data - EQ'!E498-'Market Data - EQ'!E499)/'Market Data - EQ'!E499,LN('Market Data - EQ'!E498/'Market Data - EQ'!E499)))</f>
        <v>-5.4788926867663677E-3</v>
      </c>
      <c r="K498" s="3">
        <f>IF('Value at Risk'!$C$5=0,'Market Data - EQ'!F498-'Market Data - EQ'!F499,IF('Value at Risk'!$C$6=0,('Market Data - EQ'!F498-'Market Data - EQ'!F499)/'Market Data - EQ'!F499,LN('Market Data - EQ'!F498/'Market Data - EQ'!F499)))</f>
        <v>1.5352225470145913E-3</v>
      </c>
      <c r="L498" s="8">
        <f t="shared" si="7"/>
        <v>-2.6234878777531652E-3</v>
      </c>
    </row>
    <row r="499" spans="1:12" x14ac:dyDescent="0.25">
      <c r="A499" s="5">
        <v>43088</v>
      </c>
      <c r="B499" s="4">
        <v>942.25</v>
      </c>
      <c r="C499" s="4">
        <v>319.79998799999998</v>
      </c>
      <c r="D499" s="4">
        <v>313.70001200000002</v>
      </c>
      <c r="E499" s="4">
        <v>1670.0500489999999</v>
      </c>
      <c r="F499" s="4">
        <v>553.65002400000003</v>
      </c>
      <c r="G499" s="3">
        <f>IF('Value at Risk'!$C$5=0,'Market Data - EQ'!B499-'Market Data - EQ'!B500,IF('Value at Risk'!$C$6=0,('Market Data - EQ'!B499-'Market Data - EQ'!B500)/'Market Data - EQ'!B500,LN('Market Data - EQ'!B499/'Market Data - EQ'!B500)))</f>
        <v>2.9538029973030706E-3</v>
      </c>
      <c r="H499" s="3">
        <f>IF('Value at Risk'!$C$5=0,'Market Data - EQ'!C499-'Market Data - EQ'!C500,IF('Value at Risk'!$C$6=0,('Market Data - EQ'!C499-'Market Data - EQ'!C500)/'Market Data - EQ'!C500,LN('Market Data - EQ'!C499/'Market Data - EQ'!C500)))</f>
        <v>2.8221825554502595E-3</v>
      </c>
      <c r="I499" s="3">
        <f>IF('Value at Risk'!$C$5=0,'Market Data - EQ'!D499-'Market Data - EQ'!D500,IF('Value at Risk'!$C$6=0,('Market Data - EQ'!D499-'Market Data - EQ'!D500)/'Market Data - EQ'!D500,LN('Market Data - EQ'!D499/'Market Data - EQ'!D500)))</f>
        <v>1.5539067961263938E-2</v>
      </c>
      <c r="J499" s="3">
        <f>IF('Value at Risk'!$C$5=0,'Market Data - EQ'!E499-'Market Data - EQ'!E500,IF('Value at Risk'!$C$6=0,('Market Data - EQ'!E499-'Market Data - EQ'!E500)/'Market Data - EQ'!E500,LN('Market Data - EQ'!E499/'Market Data - EQ'!E500)))</f>
        <v>-5.0934869070914518E-3</v>
      </c>
      <c r="K499" s="3">
        <f>IF('Value at Risk'!$C$5=0,'Market Data - EQ'!F499-'Market Data - EQ'!F500,IF('Value at Risk'!$C$6=0,('Market Data - EQ'!F499-'Market Data - EQ'!F500)/'Market Data - EQ'!F500,LN('Market Data - EQ'!F499/'Market Data - EQ'!F500)))</f>
        <v>9.1132776474643871E-3</v>
      </c>
      <c r="L499" s="8">
        <f t="shared" si="7"/>
        <v>5.0669688508780406E-3</v>
      </c>
    </row>
    <row r="500" spans="1:12" x14ac:dyDescent="0.25">
      <c r="A500" s="5">
        <v>43087</v>
      </c>
      <c r="B500" s="4">
        <v>939.47497599999997</v>
      </c>
      <c r="C500" s="4">
        <v>318.89999399999999</v>
      </c>
      <c r="D500" s="4">
        <v>308.89999399999999</v>
      </c>
      <c r="E500" s="4">
        <v>1678.599976</v>
      </c>
      <c r="F500" s="4">
        <v>548.65002400000003</v>
      </c>
      <c r="G500" s="3">
        <f>IF('Value at Risk'!$C$5=0,'Market Data - EQ'!B500-'Market Data - EQ'!B501,IF('Value at Risk'!$C$6=0,('Market Data - EQ'!B500-'Market Data - EQ'!B501)/'Market Data - EQ'!B501,LN('Market Data - EQ'!B500/'Market Data - EQ'!B501)))</f>
        <v>2.9357603036731668E-3</v>
      </c>
      <c r="H500" s="3">
        <f>IF('Value at Risk'!$C$5=0,'Market Data - EQ'!C500-'Market Data - EQ'!C501,IF('Value at Risk'!$C$6=0,('Market Data - EQ'!C500-'Market Data - EQ'!C501)/'Market Data - EQ'!C501,LN('Market Data - EQ'!C500/'Market Data - EQ'!C501)))</f>
        <v>2.129701841473176E-2</v>
      </c>
      <c r="I500" s="3">
        <f>IF('Value at Risk'!$C$5=0,'Market Data - EQ'!D500-'Market Data - EQ'!D501,IF('Value at Risk'!$C$6=0,('Market Data - EQ'!D500-'Market Data - EQ'!D501)/'Market Data - EQ'!D501,LN('Market Data - EQ'!D500/'Market Data - EQ'!D501)))</f>
        <v>1.8967508209813785E-2</v>
      </c>
      <c r="J500" s="3">
        <f>IF('Value at Risk'!$C$5=0,'Market Data - EQ'!E500-'Market Data - EQ'!E501,IF('Value at Risk'!$C$6=0,('Market Data - EQ'!E500-'Market Data - EQ'!E501)/'Market Data - EQ'!E501,LN('Market Data - EQ'!E500/'Market Data - EQ'!E501)))</f>
        <v>9.2419841669258689E-4</v>
      </c>
      <c r="K500" s="3">
        <f>IF('Value at Risk'!$C$5=0,'Market Data - EQ'!F500-'Market Data - EQ'!F501,IF('Value at Risk'!$C$6=0,('Market Data - EQ'!F500-'Market Data - EQ'!F501)/'Market Data - EQ'!F501,LN('Market Data - EQ'!F500/'Market Data - EQ'!F501)))</f>
        <v>1.2775106938039728E-3</v>
      </c>
      <c r="L500" s="8">
        <f t="shared" si="7"/>
        <v>9.0803992077430548E-3</v>
      </c>
    </row>
    <row r="501" spans="1:12" x14ac:dyDescent="0.25">
      <c r="A501" s="5">
        <v>43084</v>
      </c>
      <c r="B501" s="4">
        <v>936.72497599999997</v>
      </c>
      <c r="C501" s="4">
        <v>312.25</v>
      </c>
      <c r="D501" s="4">
        <v>303.14999399999999</v>
      </c>
      <c r="E501" s="4">
        <v>1677.0500489999999</v>
      </c>
      <c r="F501" s="4">
        <v>547.95001200000002</v>
      </c>
      <c r="G501" s="3">
        <f>IF('Value at Risk'!$C$5=0,'Market Data - EQ'!B501-'Market Data - EQ'!B502,IF('Value at Risk'!$C$6=0,('Market Data - EQ'!B501-'Market Data - EQ'!B502)/'Market Data - EQ'!B502,LN('Market Data - EQ'!B501/'Market Data - EQ'!B502)))</f>
        <v>1.9259488629550025E-2</v>
      </c>
      <c r="H501" s="3">
        <f>IF('Value at Risk'!$C$5=0,'Market Data - EQ'!C501-'Market Data - EQ'!C502,IF('Value at Risk'!$C$6=0,('Market Data - EQ'!C501-'Market Data - EQ'!C502)/'Market Data - EQ'!C502,LN('Market Data - EQ'!C501/'Market Data - EQ'!C502)))</f>
        <v>-5.5732484076433117E-3</v>
      </c>
      <c r="I501" s="3">
        <f>IF('Value at Risk'!$C$5=0,'Market Data - EQ'!D501-'Market Data - EQ'!D502,IF('Value at Risk'!$C$6=0,('Market Data - EQ'!D501-'Market Data - EQ'!D502)/'Market Data - EQ'!D502,LN('Market Data - EQ'!D501/'Market Data - EQ'!D502)))</f>
        <v>-3.9428683303525712E-3</v>
      </c>
      <c r="J501" s="3">
        <f>IF('Value at Risk'!$C$5=0,'Market Data - EQ'!E501-'Market Data - EQ'!E502,IF('Value at Risk'!$C$6=0,('Market Data - EQ'!E501-'Market Data - EQ'!E502)/'Market Data - EQ'!E502,LN('Market Data - EQ'!E501/'Market Data - EQ'!E502)))</f>
        <v>1.6178430871198423E-2</v>
      </c>
      <c r="K501" s="3">
        <f>IF('Value at Risk'!$C$5=0,'Market Data - EQ'!F501-'Market Data - EQ'!F502,IF('Value at Risk'!$C$6=0,('Market Data - EQ'!F501-'Market Data - EQ'!F502)/'Market Data - EQ'!F502,LN('Market Data - EQ'!F501/'Market Data - EQ'!F502)))</f>
        <v>1.2004801654709355E-2</v>
      </c>
      <c r="L501" s="8">
        <f t="shared" si="7"/>
        <v>7.5853208834923847E-3</v>
      </c>
    </row>
    <row r="502" spans="1:12" x14ac:dyDescent="0.25">
      <c r="A502" s="5">
        <v>43083</v>
      </c>
      <c r="B502" s="4">
        <v>919.02502400000003</v>
      </c>
      <c r="C502" s="4">
        <v>314</v>
      </c>
      <c r="D502" s="4">
        <v>304.35000600000001</v>
      </c>
      <c r="E502" s="4">
        <v>1650.349976</v>
      </c>
      <c r="F502" s="4">
        <v>541.45001200000002</v>
      </c>
      <c r="G502" s="3">
        <f>IF('Value at Risk'!$C$5=0,'Market Data - EQ'!B502-'Market Data - EQ'!B503,IF('Value at Risk'!$C$6=0,('Market Data - EQ'!B502-'Market Data - EQ'!B503)/'Market Data - EQ'!B503,LN('Market Data - EQ'!B502/'Market Data - EQ'!B503)))</f>
        <v>9.1690626293999475E-3</v>
      </c>
      <c r="H502" s="3">
        <f>IF('Value at Risk'!$C$5=0,'Market Data - EQ'!C502-'Market Data - EQ'!C503,IF('Value at Risk'!$C$6=0,('Market Data - EQ'!C502-'Market Data - EQ'!C503)/'Market Data - EQ'!C503,LN('Market Data - EQ'!C502/'Market Data - EQ'!C503)))</f>
        <v>2.2343186301048159E-3</v>
      </c>
      <c r="I502" s="3">
        <f>IF('Value at Risk'!$C$5=0,'Market Data - EQ'!D502-'Market Data - EQ'!D503,IF('Value at Risk'!$C$6=0,('Market Data - EQ'!D502-'Market Data - EQ'!D503)/'Market Data - EQ'!D503,LN('Market Data - EQ'!D502/'Market Data - EQ'!D503)))</f>
        <v>4.621204636228872E-3</v>
      </c>
      <c r="J502" s="3">
        <f>IF('Value at Risk'!$C$5=0,'Market Data - EQ'!E502-'Market Data - EQ'!E503,IF('Value at Risk'!$C$6=0,('Market Data - EQ'!E502-'Market Data - EQ'!E503)/'Market Data - EQ'!E503,LN('Market Data - EQ'!E502/'Market Data - EQ'!E503)))</f>
        <v>1.7906713348451058E-3</v>
      </c>
      <c r="K502" s="3">
        <f>IF('Value at Risk'!$C$5=0,'Market Data - EQ'!F502-'Market Data - EQ'!F503,IF('Value at Risk'!$C$6=0,('Market Data - EQ'!F502-'Market Data - EQ'!F503)/'Market Data - EQ'!F503,LN('Market Data - EQ'!F502/'Market Data - EQ'!F503)))</f>
        <v>1.0639313112459197E-2</v>
      </c>
      <c r="L502" s="8">
        <f t="shared" si="7"/>
        <v>5.6909140686075875E-3</v>
      </c>
    </row>
    <row r="503" spans="1:12" x14ac:dyDescent="0.25">
      <c r="A503" s="5">
        <v>43082</v>
      </c>
      <c r="B503" s="4">
        <v>910.67498799999998</v>
      </c>
      <c r="C503" s="4">
        <v>313.29998799999998</v>
      </c>
      <c r="D503" s="4">
        <v>302.95001200000002</v>
      </c>
      <c r="E503" s="4">
        <v>1647.400024</v>
      </c>
      <c r="F503" s="4">
        <v>535.75</v>
      </c>
      <c r="G503" s="3">
        <f>IF('Value at Risk'!$C$5=0,'Market Data - EQ'!B503-'Market Data - EQ'!B504,IF('Value at Risk'!$C$6=0,('Market Data - EQ'!B503-'Market Data - EQ'!B504)/'Market Data - EQ'!B504,LN('Market Data - EQ'!B503/'Market Data - EQ'!B504)))</f>
        <v>7.9672068843268467E-4</v>
      </c>
      <c r="H503" s="3">
        <f>IF('Value at Risk'!$C$5=0,'Market Data - EQ'!C503-'Market Data - EQ'!C504,IF('Value at Risk'!$C$6=0,('Market Data - EQ'!C503-'Market Data - EQ'!C504)/'Market Data - EQ'!C504,LN('Market Data - EQ'!C503/'Market Data - EQ'!C504)))</f>
        <v>-1.617215828523828E-2</v>
      </c>
      <c r="I503" s="3">
        <f>IF('Value at Risk'!$C$5=0,'Market Data - EQ'!D503-'Market Data - EQ'!D504,IF('Value at Risk'!$C$6=0,('Market Data - EQ'!D503-'Market Data - EQ'!D504)/'Market Data - EQ'!D504,LN('Market Data - EQ'!D503/'Market Data - EQ'!D504)))</f>
        <v>-1.511701530981112E-2</v>
      </c>
      <c r="J503" s="3">
        <f>IF('Value at Risk'!$C$5=0,'Market Data - EQ'!E503-'Market Data - EQ'!E504,IF('Value at Risk'!$C$6=0,('Market Data - EQ'!E503-'Market Data - EQ'!E504)/'Market Data - EQ'!E504,LN('Market Data - EQ'!E503/'Market Data - EQ'!E504)))</f>
        <v>-1.726996515679424E-3</v>
      </c>
      <c r="K503" s="3">
        <f>IF('Value at Risk'!$C$5=0,'Market Data - EQ'!F503-'Market Data - EQ'!F504,IF('Value at Risk'!$C$6=0,('Market Data - EQ'!F503-'Market Data - EQ'!F504)/'Market Data - EQ'!F504,LN('Market Data - EQ'!F503/'Market Data - EQ'!F504)))</f>
        <v>-5.2914521481522859E-3</v>
      </c>
      <c r="L503" s="8">
        <f t="shared" si="7"/>
        <v>-7.5021803140896846E-3</v>
      </c>
    </row>
    <row r="504" spans="1:12" x14ac:dyDescent="0.25">
      <c r="A504" s="5">
        <v>43081</v>
      </c>
      <c r="B504" s="4">
        <v>909.95001200000002</v>
      </c>
      <c r="C504" s="4">
        <v>318.45001200000002</v>
      </c>
      <c r="D504" s="4">
        <v>307.60000600000001</v>
      </c>
      <c r="E504" s="4">
        <v>1650.25</v>
      </c>
      <c r="F504" s="4">
        <v>538.59997599999997</v>
      </c>
      <c r="G504" s="3">
        <f>IF('Value at Risk'!$C$5=0,'Market Data - EQ'!B504-'Market Data - EQ'!B505,IF('Value at Risk'!$C$6=0,('Market Data - EQ'!B504-'Market Data - EQ'!B505)/'Market Data - EQ'!B505,LN('Market Data - EQ'!B504/'Market Data - EQ'!B505)))</f>
        <v>-1.4352252846374529E-2</v>
      </c>
      <c r="H504" s="3">
        <f>IF('Value at Risk'!$C$5=0,'Market Data - EQ'!C504-'Market Data - EQ'!C505,IF('Value at Risk'!$C$6=0,('Market Data - EQ'!C504-'Market Data - EQ'!C505)/'Market Data - EQ'!C505,LN('Market Data - EQ'!C504/'Market Data - EQ'!C505)))</f>
        <v>1.5709171150305601E-4</v>
      </c>
      <c r="I504" s="3">
        <f>IF('Value at Risk'!$C$5=0,'Market Data - EQ'!D504-'Market Data - EQ'!D505,IF('Value at Risk'!$C$6=0,('Market Data - EQ'!D504-'Market Data - EQ'!D505)/'Market Data - EQ'!D505,LN('Market Data - EQ'!D504/'Market Data - EQ'!D505)))</f>
        <v>-1.2361553545228336E-2</v>
      </c>
      <c r="J504" s="3">
        <f>IF('Value at Risk'!$C$5=0,'Market Data - EQ'!E504-'Market Data - EQ'!E505,IF('Value at Risk'!$C$6=0,('Market Data - EQ'!E504-'Market Data - EQ'!E505)/'Market Data - EQ'!E505,LN('Market Data - EQ'!E504/'Market Data - EQ'!E505)))</f>
        <v>-1.1885501637777384E-2</v>
      </c>
      <c r="K504" s="3">
        <f>IF('Value at Risk'!$C$5=0,'Market Data - EQ'!F504-'Market Data - EQ'!F505,IF('Value at Risk'!$C$6=0,('Market Data - EQ'!F504-'Market Data - EQ'!F505)/'Market Data - EQ'!F505,LN('Market Data - EQ'!F504/'Market Data - EQ'!F505)))</f>
        <v>-1.1924418063082065E-2</v>
      </c>
      <c r="L504" s="8">
        <f t="shared" si="7"/>
        <v>-1.0073326876191852E-2</v>
      </c>
    </row>
    <row r="505" spans="1:12" x14ac:dyDescent="0.25">
      <c r="A505" s="5">
        <v>43080</v>
      </c>
      <c r="B505" s="4">
        <v>923.20001200000002</v>
      </c>
      <c r="C505" s="4">
        <v>318.39999399999999</v>
      </c>
      <c r="D505" s="4">
        <v>311.45001200000002</v>
      </c>
      <c r="E505" s="4">
        <v>1670.099976</v>
      </c>
      <c r="F505" s="4">
        <v>545.09997599999997</v>
      </c>
      <c r="G505" s="3">
        <f>IF('Value at Risk'!$C$5=0,'Market Data - EQ'!B505-'Market Data - EQ'!B506,IF('Value at Risk'!$C$6=0,('Market Data - EQ'!B505-'Market Data - EQ'!B506)/'Market Data - EQ'!B506,LN('Market Data - EQ'!B505/'Market Data - EQ'!B506)))</f>
        <v>3.2601607920865793E-3</v>
      </c>
      <c r="H505" s="3">
        <f>IF('Value at Risk'!$C$5=0,'Market Data - EQ'!C505-'Market Data - EQ'!C506,IF('Value at Risk'!$C$6=0,('Market Data - EQ'!C505-'Market Data - EQ'!C506)/'Market Data - EQ'!C506,LN('Market Data - EQ'!C505/'Market Data - EQ'!C506)))</f>
        <v>1.6927460550735296E-2</v>
      </c>
      <c r="I505" s="3">
        <f>IF('Value at Risk'!$C$5=0,'Market Data - EQ'!D505-'Market Data - EQ'!D506,IF('Value at Risk'!$C$6=0,('Market Data - EQ'!D505-'Market Data - EQ'!D506)/'Market Data - EQ'!D506,LN('Market Data - EQ'!D505/'Market Data - EQ'!D506)))</f>
        <v>2.2526532582462276E-3</v>
      </c>
      <c r="J505" s="3">
        <f>IF('Value at Risk'!$C$5=0,'Market Data - EQ'!E505-'Market Data - EQ'!E506,IF('Value at Risk'!$C$6=0,('Market Data - EQ'!E505-'Market Data - EQ'!E506)/'Market Data - EQ'!E506,LN('Market Data - EQ'!E505/'Market Data - EQ'!E506)))</f>
        <v>-5.6854850072774507E-4</v>
      </c>
      <c r="K505" s="3">
        <f>IF('Value at Risk'!$C$5=0,'Market Data - EQ'!F505-'Market Data - EQ'!F506,IF('Value at Risk'!$C$6=0,('Market Data - EQ'!F505-'Market Data - EQ'!F506)/'Market Data - EQ'!F506,LN('Market Data - EQ'!F505/'Market Data - EQ'!F506)))</f>
        <v>4.7925824884792068E-3</v>
      </c>
      <c r="L505" s="8">
        <f t="shared" si="7"/>
        <v>5.332861717763912E-3</v>
      </c>
    </row>
    <row r="506" spans="1:12" x14ac:dyDescent="0.25">
      <c r="A506" s="5">
        <v>43077</v>
      </c>
      <c r="B506" s="4">
        <v>920.20001200000002</v>
      </c>
      <c r="C506" s="4">
        <v>313.10000600000001</v>
      </c>
      <c r="D506" s="4">
        <v>310.75</v>
      </c>
      <c r="E506" s="4">
        <v>1671.0500489999999</v>
      </c>
      <c r="F506" s="4">
        <v>542.5</v>
      </c>
      <c r="G506" s="3">
        <f>IF('Value at Risk'!$C$5=0,'Market Data - EQ'!B506-'Market Data - EQ'!B507,IF('Value at Risk'!$C$6=0,('Market Data - EQ'!B506-'Market Data - EQ'!B507)/'Market Data - EQ'!B507,LN('Market Data - EQ'!B506/'Market Data - EQ'!B507)))</f>
        <v>1.6992235842392914E-2</v>
      </c>
      <c r="H506" s="3">
        <f>IF('Value at Risk'!$C$5=0,'Market Data - EQ'!C506-'Market Data - EQ'!C507,IF('Value at Risk'!$C$6=0,('Market Data - EQ'!C506-'Market Data - EQ'!C507)/'Market Data - EQ'!C507,LN('Market Data - EQ'!C506/'Market Data - EQ'!C507)))</f>
        <v>-1.0429797922183225E-2</v>
      </c>
      <c r="I506" s="3">
        <f>IF('Value at Risk'!$C$5=0,'Market Data - EQ'!D506-'Market Data - EQ'!D507,IF('Value at Risk'!$C$6=0,('Market Data - EQ'!D506-'Market Data - EQ'!D507)/'Market Data - EQ'!D507,LN('Market Data - EQ'!D506/'Market Data - EQ'!D507)))</f>
        <v>1.6187090236249504E-2</v>
      </c>
      <c r="J506" s="3">
        <f>IF('Value at Risk'!$C$5=0,'Market Data - EQ'!E506-'Market Data - EQ'!E507,IF('Value at Risk'!$C$6=0,('Market Data - EQ'!E506-'Market Data - EQ'!E507)/'Market Data - EQ'!E507,LN('Market Data - EQ'!E506/'Market Data - EQ'!E507)))</f>
        <v>1.1317259219665443E-2</v>
      </c>
      <c r="K506" s="3">
        <f>IF('Value at Risk'!$C$5=0,'Market Data - EQ'!F506-'Market Data - EQ'!F507,IF('Value at Risk'!$C$6=0,('Market Data - EQ'!F506-'Market Data - EQ'!F507)/'Market Data - EQ'!F507,LN('Market Data - EQ'!F506/'Market Data - EQ'!F507)))</f>
        <v>1.5822511356371409E-2</v>
      </c>
      <c r="L506" s="8">
        <f t="shared" si="7"/>
        <v>9.9778597464992083E-3</v>
      </c>
    </row>
    <row r="507" spans="1:12" x14ac:dyDescent="0.25">
      <c r="A507" s="5">
        <v>43076</v>
      </c>
      <c r="B507" s="4">
        <v>904.82501200000002</v>
      </c>
      <c r="C507" s="4">
        <v>316.39999399999999</v>
      </c>
      <c r="D507" s="4">
        <v>305.79998799999998</v>
      </c>
      <c r="E507" s="4">
        <v>1652.349976</v>
      </c>
      <c r="F507" s="4">
        <v>534.04998799999998</v>
      </c>
      <c r="G507" s="3">
        <f>IF('Value at Risk'!$C$5=0,'Market Data - EQ'!B507-'Market Data - EQ'!B508,IF('Value at Risk'!$C$6=0,('Market Data - EQ'!B507-'Market Data - EQ'!B508)/'Market Data - EQ'!B508,LN('Market Data - EQ'!B507/'Market Data - EQ'!B508)))</f>
        <v>3.5213086180763908E-3</v>
      </c>
      <c r="H507" s="3">
        <f>IF('Value at Risk'!$C$5=0,'Market Data - EQ'!C507-'Market Data - EQ'!C508,IF('Value at Risk'!$C$6=0,('Market Data - EQ'!C507-'Market Data - EQ'!C508)/'Market Data - EQ'!C508,LN('Market Data - EQ'!C507/'Market Data - EQ'!C508)))</f>
        <v>1.2804097557056932E-2</v>
      </c>
      <c r="I507" s="3">
        <f>IF('Value at Risk'!$C$5=0,'Market Data - EQ'!D507-'Market Data - EQ'!D508,IF('Value at Risk'!$C$6=0,('Market Data - EQ'!D507-'Market Data - EQ'!D508)/'Market Data - EQ'!D508,LN('Market Data - EQ'!D507/'Market Data - EQ'!D508)))</f>
        <v>2.103501836393985E-2</v>
      </c>
      <c r="J507" s="3">
        <f>IF('Value at Risk'!$C$5=0,'Market Data - EQ'!E507-'Market Data - EQ'!E508,IF('Value at Risk'!$C$6=0,('Market Data - EQ'!E507-'Market Data - EQ'!E508)/'Market Data - EQ'!E508,LN('Market Data - EQ'!E507/'Market Data - EQ'!E508)))</f>
        <v>-8.1633611900620167E-4</v>
      </c>
      <c r="K507" s="3">
        <f>IF('Value at Risk'!$C$5=0,'Market Data - EQ'!F507-'Market Data - EQ'!F508,IF('Value at Risk'!$C$6=0,('Market Data - EQ'!F507-'Market Data - EQ'!F508)/'Market Data - EQ'!F508,LN('Market Data - EQ'!F507/'Market Data - EQ'!F508)))</f>
        <v>6.6917775683317336E-3</v>
      </c>
      <c r="L507" s="8">
        <f t="shared" si="7"/>
        <v>8.64717319767974E-3</v>
      </c>
    </row>
    <row r="508" spans="1:12" x14ac:dyDescent="0.25">
      <c r="A508" s="5">
        <v>43075</v>
      </c>
      <c r="B508" s="4">
        <v>901.65002400000003</v>
      </c>
      <c r="C508" s="4">
        <v>312.39999399999999</v>
      </c>
      <c r="D508" s="4">
        <v>299.5</v>
      </c>
      <c r="E508" s="4">
        <v>1653.6999510000001</v>
      </c>
      <c r="F508" s="4">
        <v>530.5</v>
      </c>
      <c r="G508" s="3">
        <f>IF('Value at Risk'!$C$5=0,'Market Data - EQ'!B508-'Market Data - EQ'!B509,IF('Value at Risk'!$C$6=0,('Market Data - EQ'!B508-'Market Data - EQ'!B509)/'Market Data - EQ'!B509,LN('Market Data - EQ'!B508/'Market Data - EQ'!B509)))</f>
        <v>-9.4206951315297018E-3</v>
      </c>
      <c r="H508" s="3">
        <f>IF('Value at Risk'!$C$5=0,'Market Data - EQ'!C508-'Market Data - EQ'!C509,IF('Value at Risk'!$C$6=0,('Market Data - EQ'!C508-'Market Data - EQ'!C509)/'Market Data - EQ'!C509,LN('Market Data - EQ'!C508/'Market Data - EQ'!C509)))</f>
        <v>-2.0996590015733233E-2</v>
      </c>
      <c r="I508" s="3">
        <f>IF('Value at Risk'!$C$5=0,'Market Data - EQ'!D508-'Market Data - EQ'!D509,IF('Value at Risk'!$C$6=0,('Market Data - EQ'!D508-'Market Data - EQ'!D509)/'Market Data - EQ'!D509,LN('Market Data - EQ'!D508/'Market Data - EQ'!D509)))</f>
        <v>-1.8837018837018837E-2</v>
      </c>
      <c r="J508" s="3">
        <f>IF('Value at Risk'!$C$5=0,'Market Data - EQ'!E508-'Market Data - EQ'!E509,IF('Value at Risk'!$C$6=0,('Market Data - EQ'!E508-'Market Data - EQ'!E509)/'Market Data - EQ'!E509,LN('Market Data - EQ'!E508/'Market Data - EQ'!E509)))</f>
        <v>-7.025382989906799E-3</v>
      </c>
      <c r="K508" s="3">
        <f>IF('Value at Risk'!$C$5=0,'Market Data - EQ'!F508-'Market Data - EQ'!F509,IF('Value at Risk'!$C$6=0,('Market Data - EQ'!F508-'Market Data - EQ'!F509)/'Market Data - EQ'!F509,LN('Market Data - EQ'!F508/'Market Data - EQ'!F509)))</f>
        <v>-4.9705033868666397E-3</v>
      </c>
      <c r="L508" s="8">
        <f t="shared" si="7"/>
        <v>-1.2250038072211041E-2</v>
      </c>
    </row>
    <row r="509" spans="1:12" x14ac:dyDescent="0.25">
      <c r="A509" s="5">
        <v>43074</v>
      </c>
      <c r="B509" s="4">
        <v>910.22497599999997</v>
      </c>
      <c r="C509" s="4">
        <v>319.10000600000001</v>
      </c>
      <c r="D509" s="4">
        <v>305.25</v>
      </c>
      <c r="E509" s="4">
        <v>1665.400024</v>
      </c>
      <c r="F509" s="4">
        <v>533.15002400000003</v>
      </c>
      <c r="G509" s="3">
        <f>IF('Value at Risk'!$C$5=0,'Market Data - EQ'!B509-'Market Data - EQ'!B510,IF('Value at Risk'!$C$6=0,('Market Data - EQ'!B509-'Market Data - EQ'!B510)/'Market Data - EQ'!B510,LN('Market Data - EQ'!B509/'Market Data - EQ'!B510)))</f>
        <v>-7.4423554760463233E-3</v>
      </c>
      <c r="H509" s="3">
        <f>IF('Value at Risk'!$C$5=0,'Market Data - EQ'!C509-'Market Data - EQ'!C510,IF('Value at Risk'!$C$6=0,('Market Data - EQ'!C509-'Market Data - EQ'!C510)/'Market Data - EQ'!C510,LN('Market Data - EQ'!C509/'Market Data - EQ'!C510)))</f>
        <v>1.7538264970568911E-2</v>
      </c>
      <c r="I509" s="3">
        <f>IF('Value at Risk'!$C$5=0,'Market Data - EQ'!D509-'Market Data - EQ'!D510,IF('Value at Risk'!$C$6=0,('Market Data - EQ'!D509-'Market Data - EQ'!D510)/'Market Data - EQ'!D510,LN('Market Data - EQ'!D509/'Market Data - EQ'!D510)))</f>
        <v>3.286770747740345E-3</v>
      </c>
      <c r="J509" s="3">
        <f>IF('Value at Risk'!$C$5=0,'Market Data - EQ'!E509-'Market Data - EQ'!E510,IF('Value at Risk'!$C$6=0,('Market Data - EQ'!E509-'Market Data - EQ'!E510)/'Market Data - EQ'!E510,LN('Market Data - EQ'!E509/'Market Data - EQ'!E510)))</f>
        <v>9.2721945473199993E-3</v>
      </c>
      <c r="K509" s="3">
        <f>IF('Value at Risk'!$C$5=0,'Market Data - EQ'!F509-'Market Data - EQ'!F510,IF('Value at Risk'!$C$6=0,('Market Data - EQ'!F509-'Market Data - EQ'!F510)/'Market Data - EQ'!F510,LN('Market Data - EQ'!F509/'Market Data - EQ'!F510)))</f>
        <v>-3.3647779411583316E-3</v>
      </c>
      <c r="L509" s="8">
        <f t="shared" si="7"/>
        <v>3.8580193696849201E-3</v>
      </c>
    </row>
    <row r="510" spans="1:12" x14ac:dyDescent="0.25">
      <c r="A510" s="5">
        <v>43073</v>
      </c>
      <c r="B510" s="4">
        <v>917.04998799999998</v>
      </c>
      <c r="C510" s="4">
        <v>313.60000600000001</v>
      </c>
      <c r="D510" s="4">
        <v>304.25</v>
      </c>
      <c r="E510" s="4">
        <v>1650.099976</v>
      </c>
      <c r="F510" s="4">
        <v>534.95001200000002</v>
      </c>
      <c r="G510" s="3">
        <f>IF('Value at Risk'!$C$5=0,'Market Data - EQ'!B510-'Market Data - EQ'!B511,IF('Value at Risk'!$C$6=0,('Market Data - EQ'!B510-'Market Data - EQ'!B511)/'Market Data - EQ'!B511,LN('Market Data - EQ'!B510/'Market Data - EQ'!B511)))</f>
        <v>-7.6290316882336824E-3</v>
      </c>
      <c r="H510" s="3">
        <f>IF('Value at Risk'!$C$5=0,'Market Data - EQ'!C510-'Market Data - EQ'!C511,IF('Value at Risk'!$C$6=0,('Market Data - EQ'!C510-'Market Data - EQ'!C511)/'Market Data - EQ'!C511,LN('Market Data - EQ'!C510/'Market Data - EQ'!C511)))</f>
        <v>2.7178449240607755E-3</v>
      </c>
      <c r="I510" s="3">
        <f>IF('Value at Risk'!$C$5=0,'Market Data - EQ'!D510-'Market Data - EQ'!D511,IF('Value at Risk'!$C$6=0,('Market Data - EQ'!D510-'Market Data - EQ'!D511)/'Market Data - EQ'!D511,LN('Market Data - EQ'!D510/'Market Data - EQ'!D511)))</f>
        <v>-3.2760032760032762E-3</v>
      </c>
      <c r="J510" s="3">
        <f>IF('Value at Risk'!$C$5=0,'Market Data - EQ'!E510-'Market Data - EQ'!E511,IF('Value at Risk'!$C$6=0,('Market Data - EQ'!E510-'Market Data - EQ'!E511)/'Market Data - EQ'!E511,LN('Market Data - EQ'!E510/'Market Data - EQ'!E511)))</f>
        <v>-6.6221179693762159E-3</v>
      </c>
      <c r="K510" s="3">
        <f>IF('Value at Risk'!$C$5=0,'Market Data - EQ'!F510-'Market Data - EQ'!F511,IF('Value at Risk'!$C$6=0,('Market Data - EQ'!F510-'Market Data - EQ'!F511)/'Market Data - EQ'!F511,LN('Market Data - EQ'!F510/'Market Data - EQ'!F511)))</f>
        <v>2.0605714141683235E-3</v>
      </c>
      <c r="L510" s="8">
        <f t="shared" si="7"/>
        <v>-2.5497473190768147E-3</v>
      </c>
    </row>
    <row r="511" spans="1:12" x14ac:dyDescent="0.25">
      <c r="A511" s="5">
        <v>43070</v>
      </c>
      <c r="B511" s="4">
        <v>924.09997599999997</v>
      </c>
      <c r="C511" s="4">
        <v>312.75</v>
      </c>
      <c r="D511" s="4">
        <v>305.25</v>
      </c>
      <c r="E511" s="4">
        <v>1661.099976</v>
      </c>
      <c r="F511" s="4">
        <v>533.84997599999997</v>
      </c>
      <c r="G511" s="3">
        <f>IF('Value at Risk'!$C$5=0,'Market Data - EQ'!B511-'Market Data - EQ'!B512,IF('Value at Risk'!$C$6=0,('Market Data - EQ'!B511-'Market Data - EQ'!B512)/'Market Data - EQ'!B512,LN('Market Data - EQ'!B511/'Market Data - EQ'!B512)))</f>
        <v>-2.9670389720115827E-3</v>
      </c>
      <c r="H511" s="3">
        <f>IF('Value at Risk'!$C$5=0,'Market Data - EQ'!C511-'Market Data - EQ'!C512,IF('Value at Risk'!$C$6=0,('Market Data - EQ'!C511-'Market Data - EQ'!C512)/'Market Data - EQ'!C512,LN('Market Data - EQ'!C511/'Market Data - EQ'!C512)))</f>
        <v>-2.3724070103498009E-2</v>
      </c>
      <c r="I511" s="3">
        <f>IF('Value at Risk'!$C$5=0,'Market Data - EQ'!D511-'Market Data - EQ'!D512,IF('Value at Risk'!$C$6=0,('Market Data - EQ'!D511-'Market Data - EQ'!D512)/'Market Data - EQ'!D512,LN('Market Data - EQ'!D511/'Market Data - EQ'!D512)))</f>
        <v>-7.4784200609365166E-3</v>
      </c>
      <c r="J511" s="3">
        <f>IF('Value at Risk'!$C$5=0,'Market Data - EQ'!E511-'Market Data - EQ'!E512,IF('Value at Risk'!$C$6=0,('Market Data - EQ'!E511-'Market Data - EQ'!E512)/'Market Data - EQ'!E512,LN('Market Data - EQ'!E511/'Market Data - EQ'!E512)))</f>
        <v>-5.1143236863941265E-4</v>
      </c>
      <c r="K511" s="3">
        <f>IF('Value at Risk'!$C$5=0,'Market Data - EQ'!F511-'Market Data - EQ'!F512,IF('Value at Risk'!$C$6=0,('Market Data - EQ'!F511-'Market Data - EQ'!F512)/'Market Data - EQ'!F512,LN('Market Data - EQ'!F511/'Market Data - EQ'!F512)))</f>
        <v>-2.8951212747798842E-3</v>
      </c>
      <c r="L511" s="8">
        <f t="shared" si="7"/>
        <v>-7.5152165559730809E-3</v>
      </c>
    </row>
    <row r="512" spans="1:12" x14ac:dyDescent="0.25">
      <c r="A512" s="5">
        <v>43069</v>
      </c>
      <c r="B512" s="4">
        <v>926.84997599999997</v>
      </c>
      <c r="C512" s="4">
        <v>320.35000600000001</v>
      </c>
      <c r="D512" s="4">
        <v>307.54998799999998</v>
      </c>
      <c r="E512" s="4">
        <v>1661.9499510000001</v>
      </c>
      <c r="F512" s="4">
        <v>535.40002400000003</v>
      </c>
      <c r="G512" s="3">
        <f>IF('Value at Risk'!$C$5=0,'Market Data - EQ'!B512-'Market Data - EQ'!B513,IF('Value at Risk'!$C$6=0,('Market Data - EQ'!B512-'Market Data - EQ'!B513)/'Market Data - EQ'!B513,LN('Market Data - EQ'!B512/'Market Data - EQ'!B513)))</f>
        <v>-1.0462870601495934E-2</v>
      </c>
      <c r="H512" s="3">
        <f>IF('Value at Risk'!$C$5=0,'Market Data - EQ'!C512-'Market Data - EQ'!C513,IF('Value at Risk'!$C$6=0,('Market Data - EQ'!C512-'Market Data - EQ'!C513)/'Market Data - EQ'!C513,LN('Market Data - EQ'!C512/'Market Data - EQ'!C513)))</f>
        <v>-2.5995707376023806E-2</v>
      </c>
      <c r="I512" s="3">
        <f>IF('Value at Risk'!$C$5=0,'Market Data - EQ'!D512-'Market Data - EQ'!D513,IF('Value at Risk'!$C$6=0,('Market Data - EQ'!D512-'Market Data - EQ'!D513)/'Market Data - EQ'!D513,LN('Market Data - EQ'!D512/'Market Data - EQ'!D513)))</f>
        <v>-2.318570068567832E-2</v>
      </c>
      <c r="J512" s="3">
        <f>IF('Value at Risk'!$C$5=0,'Market Data - EQ'!E512-'Market Data - EQ'!E513,IF('Value at Risk'!$C$6=0,('Market Data - EQ'!E512-'Market Data - EQ'!E513)/'Market Data - EQ'!E513,LN('Market Data - EQ'!E512/'Market Data - EQ'!E513)))</f>
        <v>-6.0999747950845193E-3</v>
      </c>
      <c r="K512" s="3">
        <f>IF('Value at Risk'!$C$5=0,'Market Data - EQ'!F512-'Market Data - EQ'!F513,IF('Value at Risk'!$C$6=0,('Market Data - EQ'!F512-'Market Data - EQ'!F513)/'Market Data - EQ'!F513,LN('Market Data - EQ'!F512/'Market Data - EQ'!F513)))</f>
        <v>-2.5659646951774286E-2</v>
      </c>
      <c r="L512" s="8">
        <f t="shared" si="7"/>
        <v>-1.8280780082011373E-2</v>
      </c>
    </row>
    <row r="513" spans="1:12" x14ac:dyDescent="0.25">
      <c r="A513" s="5">
        <v>43068</v>
      </c>
      <c r="B513" s="4">
        <v>936.65002400000003</v>
      </c>
      <c r="C513" s="4">
        <v>328.89999399999999</v>
      </c>
      <c r="D513" s="4">
        <v>314.85000600000001</v>
      </c>
      <c r="E513" s="4">
        <v>1672.150024</v>
      </c>
      <c r="F513" s="4">
        <v>549.5</v>
      </c>
      <c r="G513" s="3">
        <f>IF('Value at Risk'!$C$5=0,'Market Data - EQ'!B513-'Market Data - EQ'!B514,IF('Value at Risk'!$C$6=0,('Market Data - EQ'!B513-'Market Data - EQ'!B514)/'Market Data - EQ'!B514,LN('Market Data - EQ'!B513/'Market Data - EQ'!B514)))</f>
        <v>4.2619734110421383E-3</v>
      </c>
      <c r="H513" s="3">
        <f>IF('Value at Risk'!$C$5=0,'Market Data - EQ'!C513-'Market Data - EQ'!C514,IF('Value at Risk'!$C$6=0,('Market Data - EQ'!C513-'Market Data - EQ'!C514)/'Market Data - EQ'!C514,LN('Market Data - EQ'!C513/'Market Data - EQ'!C514)))</f>
        <v>-9.3373674698795407E-3</v>
      </c>
      <c r="I513" s="3">
        <f>IF('Value at Risk'!$C$5=0,'Market Data - EQ'!D513-'Market Data - EQ'!D514,IF('Value at Risk'!$C$6=0,('Market Data - EQ'!D513-'Market Data - EQ'!D514)/'Market Data - EQ'!D514,LN('Market Data - EQ'!D513/'Market Data - EQ'!D514)))</f>
        <v>5.2681798747823555E-3</v>
      </c>
      <c r="J513" s="3">
        <f>IF('Value at Risk'!$C$5=0,'Market Data - EQ'!E513-'Market Data - EQ'!E514,IF('Value at Risk'!$C$6=0,('Market Data - EQ'!E513-'Market Data - EQ'!E514)/'Market Data - EQ'!E514,LN('Market Data - EQ'!E513/'Market Data - EQ'!E514)))</f>
        <v>-3.6347242663488572E-3</v>
      </c>
      <c r="K513" s="3">
        <f>IF('Value at Risk'!$C$5=0,'Market Data - EQ'!F513-'Market Data - EQ'!F514,IF('Value at Risk'!$C$6=0,('Market Data - EQ'!F513-'Market Data - EQ'!F514)/'Market Data - EQ'!F514,LN('Market Data - EQ'!F513/'Market Data - EQ'!F514)))</f>
        <v>-2.3197917124477808E-2</v>
      </c>
      <c r="L513" s="8">
        <f t="shared" si="7"/>
        <v>-5.3279711149763426E-3</v>
      </c>
    </row>
    <row r="514" spans="1:12" x14ac:dyDescent="0.25">
      <c r="A514" s="5">
        <v>43067</v>
      </c>
      <c r="B514" s="4">
        <v>932.67498799999998</v>
      </c>
      <c r="C514" s="4">
        <v>332</v>
      </c>
      <c r="D514" s="4">
        <v>313.20001200000002</v>
      </c>
      <c r="E514" s="4">
        <v>1678.25</v>
      </c>
      <c r="F514" s="4">
        <v>562.54998799999998</v>
      </c>
      <c r="G514" s="3">
        <f>IF('Value at Risk'!$C$5=0,'Market Data - EQ'!B514-'Market Data - EQ'!B515,IF('Value at Risk'!$C$6=0,('Market Data - EQ'!B514-'Market Data - EQ'!B515)/'Market Data - EQ'!B515,LN('Market Data - EQ'!B514/'Market Data - EQ'!B515)))</f>
        <v>4.1990405633473993E-3</v>
      </c>
      <c r="H514" s="3">
        <f>IF('Value at Risk'!$C$5=0,'Market Data - EQ'!C514-'Market Data - EQ'!C515,IF('Value at Risk'!$C$6=0,('Market Data - EQ'!C514-'Market Data - EQ'!C515)/'Market Data - EQ'!C515,LN('Market Data - EQ'!C514/'Market Data - EQ'!C515)))</f>
        <v>-1.0874405080430279E-2</v>
      </c>
      <c r="I514" s="3">
        <f>IF('Value at Risk'!$C$5=0,'Market Data - EQ'!D514-'Market Data - EQ'!D515,IF('Value at Risk'!$C$6=0,('Market Data - EQ'!D514-'Market Data - EQ'!D515)/'Market Data - EQ'!D515,LN('Market Data - EQ'!D514/'Market Data - EQ'!D515)))</f>
        <v>-1.1987343848580394E-2</v>
      </c>
      <c r="J514" s="3">
        <f>IF('Value at Risk'!$C$5=0,'Market Data - EQ'!E514-'Market Data - EQ'!E515,IF('Value at Risk'!$C$6=0,('Market Data - EQ'!E514-'Market Data - EQ'!E515)/'Market Data - EQ'!E515,LN('Market Data - EQ'!E514/'Market Data - EQ'!E515)))</f>
        <v>1.062870303209015E-2</v>
      </c>
      <c r="K514" s="3">
        <f>IF('Value at Risk'!$C$5=0,'Market Data - EQ'!F514-'Market Data - EQ'!F515,IF('Value at Risk'!$C$6=0,('Market Data - EQ'!F514-'Market Data - EQ'!F515)/'Market Data - EQ'!F515,LN('Market Data - EQ'!F514/'Market Data - EQ'!F515)))</f>
        <v>5.6309686536587531E-3</v>
      </c>
      <c r="L514" s="8">
        <f t="shared" si="7"/>
        <v>-4.8060733598287425E-4</v>
      </c>
    </row>
    <row r="515" spans="1:12" x14ac:dyDescent="0.25">
      <c r="A515" s="5">
        <v>43066</v>
      </c>
      <c r="B515" s="4">
        <v>928.77502400000003</v>
      </c>
      <c r="C515" s="4">
        <v>335.64999399999999</v>
      </c>
      <c r="D515" s="4">
        <v>317</v>
      </c>
      <c r="E515" s="4">
        <v>1660.599976</v>
      </c>
      <c r="F515" s="4">
        <v>559.40002400000003</v>
      </c>
      <c r="G515" s="3">
        <f>IF('Value at Risk'!$C$5=0,'Market Data - EQ'!B515-'Market Data - EQ'!B516,IF('Value at Risk'!$C$6=0,('Market Data - EQ'!B515-'Market Data - EQ'!B516)/'Market Data - EQ'!B516,LN('Market Data - EQ'!B515/'Market Data - EQ'!B516)))</f>
        <v>3.3218234418690004E-3</v>
      </c>
      <c r="H515" s="3">
        <f>IF('Value at Risk'!$C$5=0,'Market Data - EQ'!C515-'Market Data - EQ'!C516,IF('Value at Risk'!$C$6=0,('Market Data - EQ'!C515-'Market Data - EQ'!C516)/'Market Data - EQ'!C516,LN('Market Data - EQ'!C515/'Market Data - EQ'!C516)))</f>
        <v>9.7773768311199185E-3</v>
      </c>
      <c r="I515" s="3">
        <f>IF('Value at Risk'!$C$5=0,'Market Data - EQ'!D515-'Market Data - EQ'!D516,IF('Value at Risk'!$C$6=0,('Market Data - EQ'!D515-'Market Data - EQ'!D516)/'Market Data - EQ'!D516,LN('Market Data - EQ'!D515/'Market Data - EQ'!D516)))</f>
        <v>-6.3055483112659893E-4</v>
      </c>
      <c r="J515" s="3">
        <f>IF('Value at Risk'!$C$5=0,'Market Data - EQ'!E515-'Market Data - EQ'!E516,IF('Value at Risk'!$C$6=0,('Market Data - EQ'!E515-'Market Data - EQ'!E516)/'Market Data - EQ'!E516,LN('Market Data - EQ'!E515/'Market Data - EQ'!E516)))</f>
        <v>-9.3659085730898144E-3</v>
      </c>
      <c r="K515" s="3">
        <f>IF('Value at Risk'!$C$5=0,'Market Data - EQ'!F515-'Market Data - EQ'!F516,IF('Value at Risk'!$C$6=0,('Market Data - EQ'!F515-'Market Data - EQ'!F516)/'Market Data - EQ'!F516,LN('Market Data - EQ'!F515/'Market Data - EQ'!F516)))</f>
        <v>2.5481253895508763E-2</v>
      </c>
      <c r="L515" s="8">
        <f t="shared" si="7"/>
        <v>5.7167981528562532E-3</v>
      </c>
    </row>
    <row r="516" spans="1:12" x14ac:dyDescent="0.25">
      <c r="A516" s="5">
        <v>43063</v>
      </c>
      <c r="B516" s="4">
        <v>925.70001200000002</v>
      </c>
      <c r="C516" s="4">
        <v>332.39999399999999</v>
      </c>
      <c r="D516" s="4">
        <v>317.20001200000002</v>
      </c>
      <c r="E516" s="4">
        <v>1676.3000489999999</v>
      </c>
      <c r="F516" s="4">
        <v>545.5</v>
      </c>
      <c r="G516" s="3">
        <f>IF('Value at Risk'!$C$5=0,'Market Data - EQ'!B516-'Market Data - EQ'!B517,IF('Value at Risk'!$C$6=0,('Market Data - EQ'!B516-'Market Data - EQ'!B517)/'Market Data - EQ'!B517,LN('Market Data - EQ'!B516/'Market Data - EQ'!B517)))</f>
        <v>4.6395789735192532E-3</v>
      </c>
      <c r="H516" s="3">
        <f>IF('Value at Risk'!$C$5=0,'Market Data - EQ'!C516-'Market Data - EQ'!C517,IF('Value at Risk'!$C$6=0,('Market Data - EQ'!C516-'Market Data - EQ'!C517)/'Market Data - EQ'!C517,LN('Market Data - EQ'!C516/'Market Data - EQ'!C517)))</f>
        <v>-7.6131300452081272E-3</v>
      </c>
      <c r="I516" s="3">
        <f>IF('Value at Risk'!$C$5=0,'Market Data - EQ'!D516-'Market Data - EQ'!D517,IF('Value at Risk'!$C$6=0,('Market Data - EQ'!D516-'Market Data - EQ'!D517)/'Market Data - EQ'!D517,LN('Market Data - EQ'!D516/'Market Data - EQ'!D517)))</f>
        <v>-7.0433555031451994E-3</v>
      </c>
      <c r="J516" s="3">
        <f>IF('Value at Risk'!$C$5=0,'Market Data - EQ'!E516-'Market Data - EQ'!E517,IF('Value at Risk'!$C$6=0,('Market Data - EQ'!E516-'Market Data - EQ'!E517)/'Market Data - EQ'!E517,LN('Market Data - EQ'!E516/'Market Data - EQ'!E517)))</f>
        <v>2.0050551301434998E-2</v>
      </c>
      <c r="K516" s="3">
        <f>IF('Value at Risk'!$C$5=0,'Market Data - EQ'!F516-'Market Data - EQ'!F517,IF('Value at Risk'!$C$6=0,('Market Data - EQ'!F516-'Market Data - EQ'!F517)/'Market Data - EQ'!F517,LN('Market Data - EQ'!F516/'Market Data - EQ'!F517)))</f>
        <v>2.4808893512057797E-3</v>
      </c>
      <c r="L516" s="8">
        <f t="shared" ref="L516:L579" si="8">AVERAGE(G516:K516)</f>
        <v>2.5029068155613407E-3</v>
      </c>
    </row>
    <row r="517" spans="1:12" x14ac:dyDescent="0.25">
      <c r="A517" s="5">
        <v>43062</v>
      </c>
      <c r="B517" s="4">
        <v>921.42498799999998</v>
      </c>
      <c r="C517" s="4">
        <v>334.95001200000002</v>
      </c>
      <c r="D517" s="4">
        <v>319.45001200000002</v>
      </c>
      <c r="E517" s="4">
        <v>1643.349976</v>
      </c>
      <c r="F517" s="4">
        <v>544.15002400000003</v>
      </c>
      <c r="G517" s="3">
        <f>IF('Value at Risk'!$C$5=0,'Market Data - EQ'!B517-'Market Data - EQ'!B518,IF('Value at Risk'!$C$6=0,('Market Data - EQ'!B517-'Market Data - EQ'!B518)/'Market Data - EQ'!B518,LN('Market Data - EQ'!B517/'Market Data - EQ'!B518)))</f>
        <v>-6.6837482819027249E-3</v>
      </c>
      <c r="H517" s="3">
        <f>IF('Value at Risk'!$C$5=0,'Market Data - EQ'!C517-'Market Data - EQ'!C518,IF('Value at Risk'!$C$6=0,('Market Data - EQ'!C517-'Market Data - EQ'!C518)/'Market Data - EQ'!C518,LN('Market Data - EQ'!C517/'Market Data - EQ'!C518)))</f>
        <v>-1.0437697957805165E-3</v>
      </c>
      <c r="I517" s="3">
        <f>IF('Value at Risk'!$C$5=0,'Market Data - EQ'!D517-'Market Data - EQ'!D518,IF('Value at Risk'!$C$6=0,('Market Data - EQ'!D517-'Market Data - EQ'!D518)/'Market Data - EQ'!D518,LN('Market Data - EQ'!D517/'Market Data - EQ'!D518)))</f>
        <v>1.7247350591045253E-3</v>
      </c>
      <c r="J517" s="3">
        <f>IF('Value at Risk'!$C$5=0,'Market Data - EQ'!E517-'Market Data - EQ'!E518,IF('Value at Risk'!$C$6=0,('Market Data - EQ'!E517-'Market Data - EQ'!E518)/'Market Data - EQ'!E518,LN('Market Data - EQ'!E517/'Market Data - EQ'!E518)))</f>
        <v>9.8319355000254724E-3</v>
      </c>
      <c r="K517" s="3">
        <f>IF('Value at Risk'!$C$5=0,'Market Data - EQ'!F517-'Market Data - EQ'!F518,IF('Value at Risk'!$C$6=0,('Market Data - EQ'!F517-'Market Data - EQ'!F518)/'Market Data - EQ'!F518,LN('Market Data - EQ'!F517/'Market Data - EQ'!F518)))</f>
        <v>6.7530508788159671E-3</v>
      </c>
      <c r="L517" s="8">
        <f t="shared" si="8"/>
        <v>2.1164406720525449E-3</v>
      </c>
    </row>
    <row r="518" spans="1:12" x14ac:dyDescent="0.25">
      <c r="A518" s="5">
        <v>43061</v>
      </c>
      <c r="B518" s="4">
        <v>927.625</v>
      </c>
      <c r="C518" s="4">
        <v>335.29998799999998</v>
      </c>
      <c r="D518" s="4">
        <v>318.89999399999999</v>
      </c>
      <c r="E518" s="4">
        <v>1627.349976</v>
      </c>
      <c r="F518" s="4">
        <v>540.5</v>
      </c>
      <c r="G518" s="3">
        <f>IF('Value at Risk'!$C$5=0,'Market Data - EQ'!B518-'Market Data - EQ'!B519,IF('Value at Risk'!$C$6=0,('Market Data - EQ'!B518-'Market Data - EQ'!B519)/'Market Data - EQ'!B519,LN('Market Data - EQ'!B518/'Market Data - EQ'!B519)))</f>
        <v>4.874746106973595E-3</v>
      </c>
      <c r="H518" s="3">
        <f>IF('Value at Risk'!$C$5=0,'Market Data - EQ'!C518-'Market Data - EQ'!C519,IF('Value at Risk'!$C$6=0,('Market Data - EQ'!C518-'Market Data - EQ'!C519)/'Market Data - EQ'!C519,LN('Market Data - EQ'!C518/'Market Data - EQ'!C519)))</f>
        <v>1.4063190940206074E-2</v>
      </c>
      <c r="I518" s="3">
        <f>IF('Value at Risk'!$C$5=0,'Market Data - EQ'!D518-'Market Data - EQ'!D519,IF('Value at Risk'!$C$6=0,('Market Data - EQ'!D518-'Market Data - EQ'!D519)/'Market Data - EQ'!D519,LN('Market Data - EQ'!D518/'Market Data - EQ'!D519)))</f>
        <v>-3.1259769264015678E-3</v>
      </c>
      <c r="J518" s="3">
        <f>IF('Value at Risk'!$C$5=0,'Market Data - EQ'!E518-'Market Data - EQ'!E519,IF('Value at Risk'!$C$6=0,('Market Data - EQ'!E518-'Market Data - EQ'!E519)/'Market Data - EQ'!E519,LN('Market Data - EQ'!E518/'Market Data - EQ'!E519)))</f>
        <v>-1.2889724802470821E-2</v>
      </c>
      <c r="K518" s="3">
        <f>IF('Value at Risk'!$C$5=0,'Market Data - EQ'!F518-'Market Data - EQ'!F519,IF('Value at Risk'!$C$6=0,('Market Data - EQ'!F518-'Market Data - EQ'!F519)/'Market Data - EQ'!F519,LN('Market Data - EQ'!F518/'Market Data - EQ'!F519)))</f>
        <v>-1.1521558409397743E-2</v>
      </c>
      <c r="L518" s="8">
        <f t="shared" si="8"/>
        <v>-1.7198646182180928E-3</v>
      </c>
    </row>
    <row r="519" spans="1:12" x14ac:dyDescent="0.25">
      <c r="A519" s="5">
        <v>43060</v>
      </c>
      <c r="B519" s="4">
        <v>923.125</v>
      </c>
      <c r="C519" s="4">
        <v>330.64999399999999</v>
      </c>
      <c r="D519" s="4">
        <v>319.89999399999999</v>
      </c>
      <c r="E519" s="4">
        <v>1648.599976</v>
      </c>
      <c r="F519" s="4">
        <v>546.79998799999998</v>
      </c>
      <c r="G519" s="3">
        <f>IF('Value at Risk'!$C$5=0,'Market Data - EQ'!B519-'Market Data - EQ'!B520,IF('Value at Risk'!$C$6=0,('Market Data - EQ'!B519-'Market Data - EQ'!B520)/'Market Data - EQ'!B520,LN('Market Data - EQ'!B519/'Market Data - EQ'!B520)))</f>
        <v>4.4065913523062741E-3</v>
      </c>
      <c r="H519" s="3">
        <f>IF('Value at Risk'!$C$5=0,'Market Data - EQ'!C519-'Market Data - EQ'!C520,IF('Value at Risk'!$C$6=0,('Market Data - EQ'!C519-'Market Data - EQ'!C520)/'Market Data - EQ'!C520,LN('Market Data - EQ'!C519/'Market Data - EQ'!C520)))</f>
        <v>-7.0570750750750975E-3</v>
      </c>
      <c r="I519" s="3">
        <f>IF('Value at Risk'!$C$5=0,'Market Data - EQ'!D519-'Market Data - EQ'!D520,IF('Value at Risk'!$C$6=0,('Market Data - EQ'!D519-'Market Data - EQ'!D520)/'Market Data - EQ'!D520,LN('Market Data - EQ'!D519/'Market Data - EQ'!D520)))</f>
        <v>4.2379722205483422E-3</v>
      </c>
      <c r="J519" s="3">
        <f>IF('Value at Risk'!$C$5=0,'Market Data - EQ'!E519-'Market Data - EQ'!E520,IF('Value at Risk'!$C$6=0,('Market Data - EQ'!E519-'Market Data - EQ'!E520)/'Market Data - EQ'!E520,LN('Market Data - EQ'!E519/'Market Data - EQ'!E520)))</f>
        <v>-4.2446673085618446E-4</v>
      </c>
      <c r="K519" s="3">
        <f>IF('Value at Risk'!$C$5=0,'Market Data - EQ'!F519-'Market Data - EQ'!F520,IF('Value at Risk'!$C$6=0,('Market Data - EQ'!F519-'Market Data - EQ'!F520)/'Market Data - EQ'!F520,LN('Market Data - EQ'!F519/'Market Data - EQ'!F520)))</f>
        <v>3.0266237317453635E-3</v>
      </c>
      <c r="L519" s="8">
        <f t="shared" si="8"/>
        <v>8.3792909973373956E-4</v>
      </c>
    </row>
    <row r="520" spans="1:12" x14ac:dyDescent="0.25">
      <c r="A520" s="5">
        <v>43059</v>
      </c>
      <c r="B520" s="4">
        <v>919.07501200000002</v>
      </c>
      <c r="C520" s="4">
        <v>333</v>
      </c>
      <c r="D520" s="4">
        <v>318.54998799999998</v>
      </c>
      <c r="E520" s="4">
        <v>1649.3000489999999</v>
      </c>
      <c r="F520" s="4">
        <v>545.15002400000003</v>
      </c>
      <c r="G520" s="3">
        <f>IF('Value at Risk'!$C$5=0,'Market Data - EQ'!B520-'Market Data - EQ'!B521,IF('Value at Risk'!$C$6=0,('Market Data - EQ'!B520-'Market Data - EQ'!B521)/'Market Data - EQ'!B521,LN('Market Data - EQ'!B520/'Market Data - EQ'!B521)))</f>
        <v>6.9020161971478141E-3</v>
      </c>
      <c r="H520" s="3">
        <f>IF('Value at Risk'!$C$5=0,'Market Data - EQ'!C520-'Market Data - EQ'!C521,IF('Value at Risk'!$C$6=0,('Market Data - EQ'!C520-'Market Data - EQ'!C521)/'Market Data - EQ'!C521,LN('Market Data - EQ'!C520/'Market Data - EQ'!C521)))</f>
        <v>-1.3333333333333334E-2</v>
      </c>
      <c r="I520" s="3">
        <f>IF('Value at Risk'!$C$5=0,'Market Data - EQ'!D520-'Market Data - EQ'!D521,IF('Value at Risk'!$C$6=0,('Market Data - EQ'!D520-'Market Data - EQ'!D521)/'Market Data - EQ'!D521,LN('Market Data - EQ'!D520/'Market Data - EQ'!D521)))</f>
        <v>-2.0147701873619844E-2</v>
      </c>
      <c r="J520" s="3">
        <f>IF('Value at Risk'!$C$5=0,'Market Data - EQ'!E520-'Market Data - EQ'!E521,IF('Value at Risk'!$C$6=0,('Market Data - EQ'!E520-'Market Data - EQ'!E521)/'Market Data - EQ'!E521,LN('Market Data - EQ'!E520/'Market Data - EQ'!E521)))</f>
        <v>1.0662433203077099E-2</v>
      </c>
      <c r="K520" s="3">
        <f>IF('Value at Risk'!$C$5=0,'Market Data - EQ'!F520-'Market Data - EQ'!F521,IF('Value at Risk'!$C$6=0,('Market Data - EQ'!F520-'Market Data - EQ'!F521)/'Market Data - EQ'!F521,LN('Market Data - EQ'!F520/'Market Data - EQ'!F521)))</f>
        <v>5.0700587727112636E-3</v>
      </c>
      <c r="L520" s="8">
        <f t="shared" si="8"/>
        <v>-2.1693054068034003E-3</v>
      </c>
    </row>
    <row r="521" spans="1:12" x14ac:dyDescent="0.25">
      <c r="A521" s="5">
        <v>43056</v>
      </c>
      <c r="B521" s="4">
        <v>912.77502400000003</v>
      </c>
      <c r="C521" s="4">
        <v>337.5</v>
      </c>
      <c r="D521" s="4">
        <v>325.10000600000001</v>
      </c>
      <c r="E521" s="4">
        <v>1631.900024</v>
      </c>
      <c r="F521" s="4">
        <v>542.40002400000003</v>
      </c>
      <c r="G521" s="3">
        <f>IF('Value at Risk'!$C$5=0,'Market Data - EQ'!B521-'Market Data - EQ'!B522,IF('Value at Risk'!$C$6=0,('Market Data - EQ'!B521-'Market Data - EQ'!B522)/'Market Data - EQ'!B522,LN('Market Data - EQ'!B521/'Market Data - EQ'!B522)))</f>
        <v>9.8744794346269493E-3</v>
      </c>
      <c r="H521" s="3">
        <f>IF('Value at Risk'!$C$5=0,'Market Data - EQ'!C521-'Market Data - EQ'!C522,IF('Value at Risk'!$C$6=0,('Market Data - EQ'!C521-'Market Data - EQ'!C522)/'Market Data - EQ'!C522,LN('Market Data - EQ'!C521/'Market Data - EQ'!C522)))</f>
        <v>1.2297558709614157E-2</v>
      </c>
      <c r="I521" s="3">
        <f>IF('Value at Risk'!$C$5=0,'Market Data - EQ'!D521-'Market Data - EQ'!D522,IF('Value at Risk'!$C$6=0,('Market Data - EQ'!D521-'Market Data - EQ'!D522)/'Market Data - EQ'!D522,LN('Market Data - EQ'!D521/'Market Data - EQ'!D522)))</f>
        <v>1.9281999588073355E-2</v>
      </c>
      <c r="J521" s="3">
        <f>IF('Value at Risk'!$C$5=0,'Market Data - EQ'!E521-'Market Data - EQ'!E522,IF('Value at Risk'!$C$6=0,('Market Data - EQ'!E521-'Market Data - EQ'!E522)/'Market Data - EQ'!E522,LN('Market Data - EQ'!E521/'Market Data - EQ'!E522)))</f>
        <v>1.7457447210562544E-2</v>
      </c>
      <c r="K521" s="3">
        <f>IF('Value at Risk'!$C$5=0,'Market Data - EQ'!F521-'Market Data - EQ'!F522,IF('Value at Risk'!$C$6=0,('Market Data - EQ'!F521-'Market Data - EQ'!F522)/'Market Data - EQ'!F522,LN('Market Data - EQ'!F521/'Market Data - EQ'!F522)))</f>
        <v>-3.685072039146926E-4</v>
      </c>
      <c r="L521" s="8">
        <f t="shared" si="8"/>
        <v>1.1708595547792461E-2</v>
      </c>
    </row>
    <row r="522" spans="1:12" x14ac:dyDescent="0.25">
      <c r="A522" s="5">
        <v>43055</v>
      </c>
      <c r="B522" s="4">
        <v>903.84997599999997</v>
      </c>
      <c r="C522" s="4">
        <v>333.39999399999999</v>
      </c>
      <c r="D522" s="4">
        <v>318.95001200000002</v>
      </c>
      <c r="E522" s="4">
        <v>1603.900024</v>
      </c>
      <c r="F522" s="4">
        <v>542.59997599999997</v>
      </c>
      <c r="G522" s="3">
        <f>IF('Value at Risk'!$C$5=0,'Market Data - EQ'!B522-'Market Data - EQ'!B523,IF('Value at Risk'!$C$6=0,('Market Data - EQ'!B522-'Market Data - EQ'!B523)/'Market Data - EQ'!B523,LN('Market Data - EQ'!B522/'Market Data - EQ'!B523)))</f>
        <v>4.1382874600749556E-3</v>
      </c>
      <c r="H522" s="3">
        <f>IF('Value at Risk'!$C$5=0,'Market Data - EQ'!C522-'Market Data - EQ'!C523,IF('Value at Risk'!$C$6=0,('Market Data - EQ'!C522-'Market Data - EQ'!C523)/'Market Data - EQ'!C523,LN('Market Data - EQ'!C522/'Market Data - EQ'!C523)))</f>
        <v>2.6003944262048457E-2</v>
      </c>
      <c r="I522" s="3">
        <f>IF('Value at Risk'!$C$5=0,'Market Data - EQ'!D522-'Market Data - EQ'!D523,IF('Value at Risk'!$C$6=0,('Market Data - EQ'!D522-'Market Data - EQ'!D523)/'Market Data - EQ'!D523,LN('Market Data - EQ'!D522/'Market Data - EQ'!D523)))</f>
        <v>1.0935061806656149E-2</v>
      </c>
      <c r="J522" s="3">
        <f>IF('Value at Risk'!$C$5=0,'Market Data - EQ'!E522-'Market Data - EQ'!E523,IF('Value at Risk'!$C$6=0,('Market Data - EQ'!E522-'Market Data - EQ'!E523)/'Market Data - EQ'!E523,LN('Market Data - EQ'!E522/'Market Data - EQ'!E523)))</f>
        <v>4.1005716332762265E-3</v>
      </c>
      <c r="K522" s="3">
        <f>IF('Value at Risk'!$C$5=0,'Market Data - EQ'!F522-'Market Data - EQ'!F523,IF('Value at Risk'!$C$6=0,('Market Data - EQ'!F522-'Market Data - EQ'!F523)/'Market Data - EQ'!F523,LN('Market Data - EQ'!F522/'Market Data - EQ'!F523)))</f>
        <v>1.1069667896678407E-3</v>
      </c>
      <c r="L522" s="8">
        <f t="shared" si="8"/>
        <v>9.2569663903447254E-3</v>
      </c>
    </row>
    <row r="523" spans="1:12" x14ac:dyDescent="0.25">
      <c r="A523" s="5">
        <v>43054</v>
      </c>
      <c r="B523" s="4">
        <v>900.125</v>
      </c>
      <c r="C523" s="4">
        <v>324.95001200000002</v>
      </c>
      <c r="D523" s="4">
        <v>315.5</v>
      </c>
      <c r="E523" s="4">
        <v>1597.349976</v>
      </c>
      <c r="F523" s="4">
        <v>542</v>
      </c>
      <c r="G523" s="3">
        <f>IF('Value at Risk'!$C$5=0,'Market Data - EQ'!B523-'Market Data - EQ'!B524,IF('Value at Risk'!$C$6=0,('Market Data - EQ'!B523-'Market Data - EQ'!B524)/'Market Data - EQ'!B524,LN('Market Data - EQ'!B523/'Market Data - EQ'!B524)))</f>
        <v>-1.165132204046463E-3</v>
      </c>
      <c r="H523" s="3">
        <f>IF('Value at Risk'!$C$5=0,'Market Data - EQ'!C523-'Market Data - EQ'!C524,IF('Value at Risk'!$C$6=0,('Market Data - EQ'!C523-'Market Data - EQ'!C524)/'Market Data - EQ'!C524,LN('Market Data - EQ'!C523/'Market Data - EQ'!C524)))</f>
        <v>-1.2610130429471922E-2</v>
      </c>
      <c r="I523" s="3">
        <f>IF('Value at Risk'!$C$5=0,'Market Data - EQ'!D523-'Market Data - EQ'!D524,IF('Value at Risk'!$C$6=0,('Market Data - EQ'!D523-'Market Data - EQ'!D524)/'Market Data - EQ'!D524,LN('Market Data - EQ'!D523/'Market Data - EQ'!D524)))</f>
        <v>4.4571600549412034E-3</v>
      </c>
      <c r="J523" s="3">
        <f>IF('Value at Risk'!$C$5=0,'Market Data - EQ'!E523-'Market Data - EQ'!E524,IF('Value at Risk'!$C$6=0,('Market Data - EQ'!E523-'Market Data - EQ'!E524)/'Market Data - EQ'!E524,LN('Market Data - EQ'!E523/'Market Data - EQ'!E524)))</f>
        <v>-2.46381975986272E-2</v>
      </c>
      <c r="K523" s="3">
        <f>IF('Value at Risk'!$C$5=0,'Market Data - EQ'!F523-'Market Data - EQ'!F524,IF('Value at Risk'!$C$6=0,('Market Data - EQ'!F523-'Market Data - EQ'!F524)/'Market Data - EQ'!F524,LN('Market Data - EQ'!F523/'Market Data - EQ'!F524)))</f>
        <v>-6.6893133683799313E-3</v>
      </c>
      <c r="L523" s="8">
        <f t="shared" si="8"/>
        <v>-8.1291227091168632E-3</v>
      </c>
    </row>
    <row r="524" spans="1:12" x14ac:dyDescent="0.25">
      <c r="A524" s="5">
        <v>43053</v>
      </c>
      <c r="B524" s="4">
        <v>901.17498799999998</v>
      </c>
      <c r="C524" s="4">
        <v>329.10000600000001</v>
      </c>
      <c r="D524" s="4">
        <v>314.10000600000001</v>
      </c>
      <c r="E524" s="4">
        <v>1637.6999510000001</v>
      </c>
      <c r="F524" s="4">
        <v>545.65002400000003</v>
      </c>
      <c r="G524" s="3">
        <f>IF('Value at Risk'!$C$5=0,'Market Data - EQ'!B524-'Market Data - EQ'!B525,IF('Value at Risk'!$C$6=0,('Market Data - EQ'!B524-'Market Data - EQ'!B525)/'Market Data - EQ'!B525,LN('Market Data - EQ'!B524/'Market Data - EQ'!B525)))</f>
        <v>-6.17577221668166E-3</v>
      </c>
      <c r="H524" s="3">
        <f>IF('Value at Risk'!$C$5=0,'Market Data - EQ'!C524-'Market Data - EQ'!C525,IF('Value at Risk'!$C$6=0,('Market Data - EQ'!C524-'Market Data - EQ'!C525)/'Market Data - EQ'!C525,LN('Market Data - EQ'!C524/'Market Data - EQ'!C525)))</f>
        <v>-5.8902947309576017E-3</v>
      </c>
      <c r="I524" s="3">
        <f>IF('Value at Risk'!$C$5=0,'Market Data - EQ'!D524-'Market Data - EQ'!D525,IF('Value at Risk'!$C$6=0,('Market Data - EQ'!D524-'Market Data - EQ'!D525)/'Market Data - EQ'!D525,LN('Market Data - EQ'!D524/'Market Data - EQ'!D525)))</f>
        <v>-4.7730787589496393E-4</v>
      </c>
      <c r="J524" s="3">
        <f>IF('Value at Risk'!$C$5=0,'Market Data - EQ'!E524-'Market Data - EQ'!E525,IF('Value at Risk'!$C$6=0,('Market Data - EQ'!E524-'Market Data - EQ'!E525)/'Market Data - EQ'!E525,LN('Market Data - EQ'!E524/'Market Data - EQ'!E525)))</f>
        <v>-1.2958052455969486E-2</v>
      </c>
      <c r="K524" s="3">
        <f>IF('Value at Risk'!$C$5=0,'Market Data - EQ'!F524-'Market Data - EQ'!F525,IF('Value at Risk'!$C$6=0,('Market Data - EQ'!F524-'Market Data - EQ'!F525)/'Market Data - EQ'!F525,LN('Market Data - EQ'!F524/'Market Data - EQ'!F525)))</f>
        <v>1.544626104161222E-2</v>
      </c>
      <c r="L524" s="8">
        <f t="shared" si="8"/>
        <v>-2.0110332475782983E-3</v>
      </c>
    </row>
    <row r="525" spans="1:12" x14ac:dyDescent="0.25">
      <c r="A525" s="5">
        <v>43052</v>
      </c>
      <c r="B525" s="4">
        <v>906.77502400000003</v>
      </c>
      <c r="C525" s="4">
        <v>331.04998799999998</v>
      </c>
      <c r="D525" s="4">
        <v>314.25</v>
      </c>
      <c r="E525" s="4">
        <v>1659.1999510000001</v>
      </c>
      <c r="F525" s="4">
        <v>537.34997599999997</v>
      </c>
      <c r="G525" s="3">
        <f>IF('Value at Risk'!$C$5=0,'Market Data - EQ'!B525-'Market Data - EQ'!B526,IF('Value at Risk'!$C$6=0,('Market Data - EQ'!B525-'Market Data - EQ'!B526)/'Market Data - EQ'!B526,LN('Market Data - EQ'!B525/'Market Data - EQ'!B526)))</f>
        <v>-4.6377343578484845E-3</v>
      </c>
      <c r="H525" s="3">
        <f>IF('Value at Risk'!$C$5=0,'Market Data - EQ'!C525-'Market Data - EQ'!C526,IF('Value at Risk'!$C$6=0,('Market Data - EQ'!C525-'Market Data - EQ'!C526)/'Market Data - EQ'!C526,LN('Market Data - EQ'!C525/'Market Data - EQ'!C526)))</f>
        <v>-7.4951284363410026E-3</v>
      </c>
      <c r="I525" s="3">
        <f>IF('Value at Risk'!$C$5=0,'Market Data - EQ'!D525-'Market Data - EQ'!D526,IF('Value at Risk'!$C$6=0,('Market Data - EQ'!D525-'Market Data - EQ'!D526)/'Market Data - EQ'!D526,LN('Market Data - EQ'!D525/'Market Data - EQ'!D526)))</f>
        <v>-1.3343799058084773E-2</v>
      </c>
      <c r="J525" s="3">
        <f>IF('Value at Risk'!$C$5=0,'Market Data - EQ'!E525-'Market Data - EQ'!E526,IF('Value at Risk'!$C$6=0,('Market Data - EQ'!E525-'Market Data - EQ'!E526)/'Market Data - EQ'!E526,LN('Market Data - EQ'!E525/'Market Data - EQ'!E526)))</f>
        <v>-6.6258987383785168E-4</v>
      </c>
      <c r="K525" s="3">
        <f>IF('Value at Risk'!$C$5=0,'Market Data - EQ'!F525-'Market Data - EQ'!F526,IF('Value at Risk'!$C$6=0,('Market Data - EQ'!F525-'Market Data - EQ'!F526)/'Market Data - EQ'!F526,LN('Market Data - EQ'!F525/'Market Data - EQ'!F526)))</f>
        <v>-1.3674765352601322E-2</v>
      </c>
      <c r="L525" s="8">
        <f t="shared" si="8"/>
        <v>-7.962803415742686E-3</v>
      </c>
    </row>
    <row r="526" spans="1:12" x14ac:dyDescent="0.25">
      <c r="A526" s="5">
        <v>43049</v>
      </c>
      <c r="B526" s="4">
        <v>911</v>
      </c>
      <c r="C526" s="4">
        <v>333.54998799999998</v>
      </c>
      <c r="D526" s="4">
        <v>318.5</v>
      </c>
      <c r="E526" s="4">
        <v>1660.3000489999999</v>
      </c>
      <c r="F526" s="4">
        <v>544.79998799999998</v>
      </c>
      <c r="G526" s="3">
        <f>IF('Value at Risk'!$C$5=0,'Market Data - EQ'!B526-'Market Data - EQ'!B527,IF('Value at Risk'!$C$6=0,('Market Data - EQ'!B526-'Market Data - EQ'!B527)/'Market Data - EQ'!B527,LN('Market Data - EQ'!B526/'Market Data - EQ'!B527)))</f>
        <v>-3.2004683517855462E-3</v>
      </c>
      <c r="H526" s="3">
        <f>IF('Value at Risk'!$C$5=0,'Market Data - EQ'!C526-'Market Data - EQ'!C527,IF('Value at Risk'!$C$6=0,('Market Data - EQ'!C526-'Market Data - EQ'!C527)/'Market Data - EQ'!C527,LN('Market Data - EQ'!C526/'Market Data - EQ'!C527)))</f>
        <v>6.3276937330815172E-2</v>
      </c>
      <c r="I526" s="3">
        <f>IF('Value at Risk'!$C$5=0,'Market Data - EQ'!D526-'Market Data - EQ'!D527,IF('Value at Risk'!$C$6=0,('Market Data - EQ'!D526-'Market Data - EQ'!D527)/'Market Data - EQ'!D527,LN('Market Data - EQ'!D526/'Market Data - EQ'!D527)))</f>
        <v>2.3128854087845374E-2</v>
      </c>
      <c r="J526" s="3">
        <f>IF('Value at Risk'!$C$5=0,'Market Data - EQ'!E526-'Market Data - EQ'!E527,IF('Value at Risk'!$C$6=0,('Market Data - EQ'!E526-'Market Data - EQ'!E527)/'Market Data - EQ'!E527,LN('Market Data - EQ'!E526/'Market Data - EQ'!E527)))</f>
        <v>-3.869777111144476E-3</v>
      </c>
      <c r="K526" s="3">
        <f>IF('Value at Risk'!$C$5=0,'Market Data - EQ'!F526-'Market Data - EQ'!F527,IF('Value at Risk'!$C$6=0,('Market Data - EQ'!F526-'Market Data - EQ'!F527)/'Market Data - EQ'!F527,LN('Market Data - EQ'!F526/'Market Data - EQ'!F527)))</f>
        <v>8.1420499714854825E-3</v>
      </c>
      <c r="L526" s="8">
        <f t="shared" si="8"/>
        <v>1.7495519185443204E-2</v>
      </c>
    </row>
    <row r="527" spans="1:12" x14ac:dyDescent="0.25">
      <c r="A527" s="5">
        <v>43048</v>
      </c>
      <c r="B527" s="4">
        <v>913.92498799999998</v>
      </c>
      <c r="C527" s="4">
        <v>313.70001200000002</v>
      </c>
      <c r="D527" s="4">
        <v>311.29998799999998</v>
      </c>
      <c r="E527" s="4">
        <v>1666.75</v>
      </c>
      <c r="F527" s="4">
        <v>540.40002400000003</v>
      </c>
      <c r="G527" s="3">
        <f>IF('Value at Risk'!$C$5=0,'Market Data - EQ'!B527-'Market Data - EQ'!B528,IF('Value at Risk'!$C$6=0,('Market Data - EQ'!B527-'Market Data - EQ'!B528)/'Market Data - EQ'!B528,LN('Market Data - EQ'!B527/'Market Data - EQ'!B528)))</f>
        <v>1.0405674032406506E-3</v>
      </c>
      <c r="H527" s="3">
        <f>IF('Value at Risk'!$C$5=0,'Market Data - EQ'!C527-'Market Data - EQ'!C528,IF('Value at Risk'!$C$6=0,('Market Data - EQ'!C527-'Market Data - EQ'!C528)/'Market Data - EQ'!C528,LN('Market Data - EQ'!C527/'Market Data - EQ'!C528)))</f>
        <v>1.3406635958260901E-2</v>
      </c>
      <c r="I527" s="3">
        <f>IF('Value at Risk'!$C$5=0,'Market Data - EQ'!D527-'Market Data - EQ'!D528,IF('Value at Risk'!$C$6=0,('Market Data - EQ'!D527-'Market Data - EQ'!D528)/'Market Data - EQ'!D528,LN('Market Data - EQ'!D527/'Market Data - EQ'!D528)))</f>
        <v>1.898523076923072E-2</v>
      </c>
      <c r="J527" s="3">
        <f>IF('Value at Risk'!$C$5=0,'Market Data - EQ'!E527-'Market Data - EQ'!E528,IF('Value at Risk'!$C$6=0,('Market Data - EQ'!E527-'Market Data - EQ'!E528)/'Market Data - EQ'!E528,LN('Market Data - EQ'!E527/'Market Data - EQ'!E528)))</f>
        <v>-4.5688150324584747E-3</v>
      </c>
      <c r="K527" s="3">
        <f>IF('Value at Risk'!$C$5=0,'Market Data - EQ'!F527-'Market Data - EQ'!F528,IF('Value at Risk'!$C$6=0,('Market Data - EQ'!F527-'Market Data - EQ'!F528)/'Market Data - EQ'!F528,LN('Market Data - EQ'!F527/'Market Data - EQ'!F528)))</f>
        <v>-8.1672977810683424E-3</v>
      </c>
      <c r="L527" s="8">
        <f t="shared" si="8"/>
        <v>4.1392642634410903E-3</v>
      </c>
    </row>
    <row r="528" spans="1:12" x14ac:dyDescent="0.25">
      <c r="A528" s="5">
        <v>43047</v>
      </c>
      <c r="B528" s="4">
        <v>912.97497599999997</v>
      </c>
      <c r="C528" s="4">
        <v>309.54998799999998</v>
      </c>
      <c r="D528" s="4">
        <v>305.5</v>
      </c>
      <c r="E528" s="4">
        <v>1674.400024</v>
      </c>
      <c r="F528" s="4">
        <v>544.84997599999997</v>
      </c>
      <c r="G528" s="3">
        <f>IF('Value at Risk'!$C$5=0,'Market Data - EQ'!B528-'Market Data - EQ'!B529,IF('Value at Risk'!$C$6=0,('Market Data - EQ'!B528-'Market Data - EQ'!B529)/'Market Data - EQ'!B529,LN('Market Data - EQ'!B528/'Market Data - EQ'!B529)))</f>
        <v>1.2337555843725766E-3</v>
      </c>
      <c r="H528" s="3">
        <f>IF('Value at Risk'!$C$5=0,'Market Data - EQ'!C528-'Market Data - EQ'!C529,IF('Value at Risk'!$C$6=0,('Market Data - EQ'!C528-'Market Data - EQ'!C529)/'Market Data - EQ'!C529,LN('Market Data - EQ'!C528/'Market Data - EQ'!C529)))</f>
        <v>-2.4117350916115443E-2</v>
      </c>
      <c r="I528" s="3">
        <f>IF('Value at Risk'!$C$5=0,'Market Data - EQ'!D528-'Market Data - EQ'!D529,IF('Value at Risk'!$C$6=0,('Market Data - EQ'!D528-'Market Data - EQ'!D529)/'Market Data - EQ'!D529,LN('Market Data - EQ'!D528/'Market Data - EQ'!D529)))</f>
        <v>-2.2243596521289346E-2</v>
      </c>
      <c r="J528" s="3">
        <f>IF('Value at Risk'!$C$5=0,'Market Data - EQ'!E528-'Market Data - EQ'!E529,IF('Value at Risk'!$C$6=0,('Market Data - EQ'!E528-'Market Data - EQ'!E529)/'Market Data - EQ'!E529,LN('Market Data - EQ'!E528/'Market Data - EQ'!E529)))</f>
        <v>1.2150138671730213E-2</v>
      </c>
      <c r="K528" s="3">
        <f>IF('Value at Risk'!$C$5=0,'Market Data - EQ'!F528-'Market Data - EQ'!F529,IF('Value at Risk'!$C$6=0,('Market Data - EQ'!F528-'Market Data - EQ'!F529)/'Market Data - EQ'!F529,LN('Market Data - EQ'!F528/'Market Data - EQ'!F529)))</f>
        <v>3.3576688218077244E-2</v>
      </c>
      <c r="L528" s="8">
        <f t="shared" si="8"/>
        <v>1.1992700735504875E-4</v>
      </c>
    </row>
    <row r="529" spans="1:12" x14ac:dyDescent="0.25">
      <c r="A529" s="5">
        <v>43046</v>
      </c>
      <c r="B529" s="4">
        <v>911.84997599999997</v>
      </c>
      <c r="C529" s="4">
        <v>317.20001200000002</v>
      </c>
      <c r="D529" s="4">
        <v>312.45001200000002</v>
      </c>
      <c r="E529" s="4">
        <v>1654.3000489999999</v>
      </c>
      <c r="F529" s="4">
        <v>527.15002400000003</v>
      </c>
      <c r="G529" s="3">
        <f>IF('Value at Risk'!$C$5=0,'Market Data - EQ'!B529-'Market Data - EQ'!B530,IF('Value at Risk'!$C$6=0,('Market Data - EQ'!B529-'Market Data - EQ'!B530)/'Market Data - EQ'!B530,LN('Market Data - EQ'!B529/'Market Data - EQ'!B530)))</f>
        <v>-2.6796587905019366E-3</v>
      </c>
      <c r="H529" s="3">
        <f>IF('Value at Risk'!$C$5=0,'Market Data - EQ'!C529-'Market Data - EQ'!C530,IF('Value at Risk'!$C$6=0,('Market Data - EQ'!C529-'Market Data - EQ'!C530)/'Market Data - EQ'!C530,LN('Market Data - EQ'!C529/'Market Data - EQ'!C530)))</f>
        <v>-3.5866224924012112E-2</v>
      </c>
      <c r="I529" s="3">
        <f>IF('Value at Risk'!$C$5=0,'Market Data - EQ'!D529-'Market Data - EQ'!D530,IF('Value at Risk'!$C$6=0,('Market Data - EQ'!D529-'Market Data - EQ'!D530)/'Market Data - EQ'!D530,LN('Market Data - EQ'!D529/'Market Data - EQ'!D530)))</f>
        <v>-1.154695960366414E-2</v>
      </c>
      <c r="J529" s="3">
        <f>IF('Value at Risk'!$C$5=0,'Market Data - EQ'!E529-'Market Data - EQ'!E530,IF('Value at Risk'!$C$6=0,('Market Data - EQ'!E529-'Market Data - EQ'!E530)/'Market Data - EQ'!E530,LN('Market Data - EQ'!E529/'Market Data - EQ'!E530)))</f>
        <v>3.8228452669902577E-3</v>
      </c>
      <c r="K529" s="3">
        <f>IF('Value at Risk'!$C$5=0,'Market Data - EQ'!F529-'Market Data - EQ'!F530,IF('Value at Risk'!$C$6=0,('Market Data - EQ'!F529-'Market Data - EQ'!F530)/'Market Data - EQ'!F530,LN('Market Data - EQ'!F529/'Market Data - EQ'!F530)))</f>
        <v>-1.3751124415341385E-2</v>
      </c>
      <c r="L529" s="8">
        <f t="shared" si="8"/>
        <v>-1.2004224493305864E-2</v>
      </c>
    </row>
    <row r="530" spans="1:12" x14ac:dyDescent="0.25">
      <c r="A530" s="5">
        <v>43045</v>
      </c>
      <c r="B530" s="4">
        <v>914.29998799999998</v>
      </c>
      <c r="C530" s="4">
        <v>329</v>
      </c>
      <c r="D530" s="4">
        <v>316.10000600000001</v>
      </c>
      <c r="E530" s="4">
        <v>1648</v>
      </c>
      <c r="F530" s="4">
        <v>534.5</v>
      </c>
      <c r="G530" s="3">
        <f>IF('Value at Risk'!$C$5=0,'Market Data - EQ'!B530-'Market Data - EQ'!B531,IF('Value at Risk'!$C$6=0,('Market Data - EQ'!B530-'Market Data - EQ'!B531)/'Market Data - EQ'!B531,LN('Market Data - EQ'!B530/'Market Data - EQ'!B531)))</f>
        <v>-1.1470891216803667E-3</v>
      </c>
      <c r="H530" s="3">
        <f>IF('Value at Risk'!$C$5=0,'Market Data - EQ'!C530-'Market Data - EQ'!C531,IF('Value at Risk'!$C$6=0,('Market Data - EQ'!C530-'Market Data - EQ'!C531)/'Market Data - EQ'!C531,LN('Market Data - EQ'!C530/'Market Data - EQ'!C531)))</f>
        <v>1.2307692307692308E-2</v>
      </c>
      <c r="I530" s="3">
        <f>IF('Value at Risk'!$C$5=0,'Market Data - EQ'!D530-'Market Data - EQ'!D531,IF('Value at Risk'!$C$6=0,('Market Data - EQ'!D530-'Market Data - EQ'!D531)/'Market Data - EQ'!D531,LN('Market Data - EQ'!D530/'Market Data - EQ'!D531)))</f>
        <v>6.3314974295319295E-4</v>
      </c>
      <c r="J530" s="3">
        <f>IF('Value at Risk'!$C$5=0,'Market Data - EQ'!E530-'Market Data - EQ'!E531,IF('Value at Risk'!$C$6=0,('Market Data - EQ'!E530-'Market Data - EQ'!E531)/'Market Data - EQ'!E531,LN('Market Data - EQ'!E530/'Market Data - EQ'!E531)))</f>
        <v>-1.5825619587936698E-2</v>
      </c>
      <c r="K530" s="3">
        <f>IF('Value at Risk'!$C$5=0,'Market Data - EQ'!F530-'Market Data - EQ'!F531,IF('Value at Risk'!$C$6=0,('Market Data - EQ'!F530-'Market Data - EQ'!F531)/'Market Data - EQ'!F531,LN('Market Data - EQ'!F530/'Market Data - EQ'!F531)))</f>
        <v>-1.0368406311501058E-2</v>
      </c>
      <c r="L530" s="8">
        <f t="shared" si="8"/>
        <v>-2.8800545940945244E-3</v>
      </c>
    </row>
    <row r="531" spans="1:12" x14ac:dyDescent="0.25">
      <c r="A531" s="5">
        <v>43042</v>
      </c>
      <c r="B531" s="4">
        <v>915.34997599999997</v>
      </c>
      <c r="C531" s="4">
        <v>325</v>
      </c>
      <c r="D531" s="4">
        <v>315.89999399999999</v>
      </c>
      <c r="E531" s="4">
        <v>1674.5</v>
      </c>
      <c r="F531" s="4">
        <v>540.09997599999997</v>
      </c>
      <c r="G531" s="3">
        <f>IF('Value at Risk'!$C$5=0,'Market Data - EQ'!B531-'Market Data - EQ'!B532,IF('Value at Risk'!$C$6=0,('Market Data - EQ'!B531-'Market Data - EQ'!B532)/'Market Data - EQ'!B532,LN('Market Data - EQ'!B531/'Market Data - EQ'!B532)))</f>
        <v>4.7198156595552087E-3</v>
      </c>
      <c r="H531" s="3">
        <f>IF('Value at Risk'!$C$5=0,'Market Data - EQ'!C531-'Market Data - EQ'!C532,IF('Value at Risk'!$C$6=0,('Market Data - EQ'!C531-'Market Data - EQ'!C532)/'Market Data - EQ'!C532,LN('Market Data - EQ'!C531/'Market Data - EQ'!C532)))</f>
        <v>3.3879414018525553E-2</v>
      </c>
      <c r="I531" s="3">
        <f>IF('Value at Risk'!$C$5=0,'Market Data - EQ'!D531-'Market Data - EQ'!D532,IF('Value at Risk'!$C$6=0,('Market Data - EQ'!D531-'Market Data - EQ'!D532)/'Market Data - EQ'!D532,LN('Market Data - EQ'!D531/'Market Data - EQ'!D532)))</f>
        <v>-2.3685457578123308E-3</v>
      </c>
      <c r="J531" s="3">
        <f>IF('Value at Risk'!$C$5=0,'Market Data - EQ'!E531-'Market Data - EQ'!E532,IF('Value at Risk'!$C$6=0,('Market Data - EQ'!E531-'Market Data - EQ'!E532)/'Market Data - EQ'!E532,LN('Market Data - EQ'!E531/'Market Data - EQ'!E532)))</f>
        <v>2.8878648233486945E-2</v>
      </c>
      <c r="K531" s="3">
        <f>IF('Value at Risk'!$C$5=0,'Market Data - EQ'!F531-'Market Data - EQ'!F532,IF('Value at Risk'!$C$6=0,('Market Data - EQ'!F531-'Market Data - EQ'!F532)/'Market Data - EQ'!F532,LN('Market Data - EQ'!F531/'Market Data - EQ'!F532)))</f>
        <v>1.4939305912724977E-2</v>
      </c>
      <c r="L531" s="8">
        <f t="shared" si="8"/>
        <v>1.6009727613296072E-2</v>
      </c>
    </row>
    <row r="532" spans="1:12" x14ac:dyDescent="0.25">
      <c r="A532" s="5">
        <v>43041</v>
      </c>
      <c r="B532" s="4">
        <v>911.04998799999998</v>
      </c>
      <c r="C532" s="4">
        <v>314.35000600000001</v>
      </c>
      <c r="D532" s="4">
        <v>316.64999399999999</v>
      </c>
      <c r="E532" s="4">
        <v>1627.5</v>
      </c>
      <c r="F532" s="4">
        <v>532.15002400000003</v>
      </c>
      <c r="G532" s="3">
        <f>IF('Value at Risk'!$C$5=0,'Market Data - EQ'!B532-'Market Data - EQ'!B533,IF('Value at Risk'!$C$6=0,('Market Data - EQ'!B532-'Market Data - EQ'!B533)/'Market Data - EQ'!B533,LN('Market Data - EQ'!B532/'Market Data - EQ'!B533)))</f>
        <v>4.94192852910876E-4</v>
      </c>
      <c r="H532" s="3">
        <f>IF('Value at Risk'!$C$5=0,'Market Data - EQ'!C532-'Market Data - EQ'!C533,IF('Value at Risk'!$C$6=0,('Market Data - EQ'!C532-'Market Data - EQ'!C533)/'Market Data - EQ'!C533,LN('Market Data - EQ'!C532/'Market Data - EQ'!C533)))</f>
        <v>-1.7195560096378425E-2</v>
      </c>
      <c r="I532" s="3">
        <f>IF('Value at Risk'!$C$5=0,'Market Data - EQ'!D532-'Market Data - EQ'!D533,IF('Value at Risk'!$C$6=0,('Market Data - EQ'!D532-'Market Data - EQ'!D533)/'Market Data - EQ'!D533,LN('Market Data - EQ'!D532/'Market Data - EQ'!D533)))</f>
        <v>1.0370134212574362E-2</v>
      </c>
      <c r="J532" s="3">
        <f>IF('Value at Risk'!$C$5=0,'Market Data - EQ'!E532-'Market Data - EQ'!E533,IF('Value at Risk'!$C$6=0,('Market Data - EQ'!E532-'Market Data - EQ'!E533)/'Market Data - EQ'!E533,LN('Market Data - EQ'!E532/'Market Data - EQ'!E533)))</f>
        <v>-9.1626121281129652E-3</v>
      </c>
      <c r="K532" s="3">
        <f>IF('Value at Risk'!$C$5=0,'Market Data - EQ'!F532-'Market Data - EQ'!F533,IF('Value at Risk'!$C$6=0,('Market Data - EQ'!F532-'Market Data - EQ'!F533)/'Market Data - EQ'!F533,LN('Market Data - EQ'!F532/'Market Data - EQ'!F533)))</f>
        <v>-5.5128987709017196E-3</v>
      </c>
      <c r="L532" s="8">
        <f t="shared" si="8"/>
        <v>-4.2013487859815747E-3</v>
      </c>
    </row>
    <row r="533" spans="1:12" x14ac:dyDescent="0.25">
      <c r="A533" s="5">
        <v>43040</v>
      </c>
      <c r="B533" s="4">
        <v>910.59997599999997</v>
      </c>
      <c r="C533" s="4">
        <v>319.85000600000001</v>
      </c>
      <c r="D533" s="4">
        <v>313.39999399999999</v>
      </c>
      <c r="E533" s="4">
        <v>1642.5500489999999</v>
      </c>
      <c r="F533" s="4">
        <v>535.09997599999997</v>
      </c>
      <c r="G533" s="3">
        <f>IF('Value at Risk'!$C$5=0,'Market Data - EQ'!B533-'Market Data - EQ'!B534,IF('Value at Risk'!$C$6=0,('Market Data - EQ'!B533-'Market Data - EQ'!B534)/'Market Data - EQ'!B534,LN('Market Data - EQ'!B533/'Market Data - EQ'!B534)))</f>
        <v>7.022367708045308E-3</v>
      </c>
      <c r="H533" s="3">
        <f>IF('Value at Risk'!$C$5=0,'Market Data - EQ'!C533-'Market Data - EQ'!C534,IF('Value at Risk'!$C$6=0,('Market Data - EQ'!C533-'Market Data - EQ'!C534)/'Market Data - EQ'!C534,LN('Market Data - EQ'!C533/'Market Data - EQ'!C534)))</f>
        <v>4.5945122797061796E-2</v>
      </c>
      <c r="I533" s="3">
        <f>IF('Value at Risk'!$C$5=0,'Market Data - EQ'!D533-'Market Data - EQ'!D534,IF('Value at Risk'!$C$6=0,('Market Data - EQ'!D533-'Market Data - EQ'!D534)/'Market Data - EQ'!D534,LN('Market Data - EQ'!D533/'Market Data - EQ'!D534)))</f>
        <v>4.4318519607093855E-2</v>
      </c>
      <c r="J533" s="3">
        <f>IF('Value at Risk'!$C$5=0,'Market Data - EQ'!E533-'Market Data - EQ'!E534,IF('Value at Risk'!$C$6=0,('Market Data - EQ'!E533-'Market Data - EQ'!E534)/'Market Data - EQ'!E534,LN('Market Data - EQ'!E533/'Market Data - EQ'!E534)))</f>
        <v>9.4644161711298445E-3</v>
      </c>
      <c r="K533" s="3">
        <f>IF('Value at Risk'!$C$5=0,'Market Data - EQ'!F533-'Market Data - EQ'!F534,IF('Value at Risk'!$C$6=0,('Market Data - EQ'!F533-'Market Data - EQ'!F534)/'Market Data - EQ'!F534,LN('Market Data - EQ'!F533/'Market Data - EQ'!F534)))</f>
        <v>2.2842304218263668E-2</v>
      </c>
      <c r="L533" s="8">
        <f t="shared" si="8"/>
        <v>2.5918546100318896E-2</v>
      </c>
    </row>
    <row r="534" spans="1:12" x14ac:dyDescent="0.25">
      <c r="A534" s="5">
        <v>43039</v>
      </c>
      <c r="B534" s="4">
        <v>904.25</v>
      </c>
      <c r="C534" s="4">
        <v>305.79998799999998</v>
      </c>
      <c r="D534" s="4">
        <v>300.10000600000001</v>
      </c>
      <c r="E534" s="4">
        <v>1627.150024</v>
      </c>
      <c r="F534" s="4">
        <v>523.15002400000003</v>
      </c>
      <c r="G534" s="3">
        <f>IF('Value at Risk'!$C$5=0,'Market Data - EQ'!B534-'Market Data - EQ'!B535,IF('Value at Risk'!$C$6=0,('Market Data - EQ'!B534-'Market Data - EQ'!B535)/'Market Data - EQ'!B535,LN('Market Data - EQ'!B534/'Market Data - EQ'!B535)))</f>
        <v>-3.5812672176308538E-3</v>
      </c>
      <c r="H534" s="3">
        <f>IF('Value at Risk'!$C$5=0,'Market Data - EQ'!C534-'Market Data - EQ'!C535,IF('Value at Risk'!$C$6=0,('Market Data - EQ'!C534-'Market Data - EQ'!C535)/'Market Data - EQ'!C535,LN('Market Data - EQ'!C534/'Market Data - EQ'!C535)))</f>
        <v>-1.9871833333333384E-2</v>
      </c>
      <c r="I534" s="3">
        <f>IF('Value at Risk'!$C$5=0,'Market Data - EQ'!D534-'Market Data - EQ'!D535,IF('Value at Risk'!$C$6=0,('Market Data - EQ'!D534-'Market Data - EQ'!D535)/'Market Data - EQ'!D535,LN('Market Data - EQ'!D534/'Market Data - EQ'!D535)))</f>
        <v>-1.497195202017367E-3</v>
      </c>
      <c r="J534" s="3">
        <f>IF('Value at Risk'!$C$5=0,'Market Data - EQ'!E534-'Market Data - EQ'!E535,IF('Value at Risk'!$C$6=0,('Market Data - EQ'!E534-'Market Data - EQ'!E535)/'Market Data - EQ'!E535,LN('Market Data - EQ'!E534/'Market Data - EQ'!E535)))</f>
        <v>3.9488039487891599E-3</v>
      </c>
      <c r="K534" s="3">
        <f>IF('Value at Risk'!$C$5=0,'Market Data - EQ'!F534-'Market Data - EQ'!F535,IF('Value at Risk'!$C$6=0,('Market Data - EQ'!F534-'Market Data - EQ'!F535)/'Market Data - EQ'!F535,LN('Market Data - EQ'!F534/'Market Data - EQ'!F535)))</f>
        <v>8.0888479338843036E-2</v>
      </c>
      <c r="L534" s="8">
        <f t="shared" si="8"/>
        <v>1.1977397506930118E-2</v>
      </c>
    </row>
    <row r="535" spans="1:12" x14ac:dyDescent="0.25">
      <c r="A535" s="5">
        <v>43038</v>
      </c>
      <c r="B535" s="4">
        <v>907.5</v>
      </c>
      <c r="C535" s="4">
        <v>312</v>
      </c>
      <c r="D535" s="4">
        <v>300.54998799999998</v>
      </c>
      <c r="E535" s="4">
        <v>1620.75</v>
      </c>
      <c r="F535" s="4">
        <v>484</v>
      </c>
      <c r="G535" s="3">
        <f>IF('Value at Risk'!$C$5=0,'Market Data - EQ'!B535-'Market Data - EQ'!B536,IF('Value at Risk'!$C$6=0,('Market Data - EQ'!B535-'Market Data - EQ'!B536)/'Market Data - EQ'!B536,LN('Market Data - EQ'!B535/'Market Data - EQ'!B536)))</f>
        <v>1.3372017173246483E-2</v>
      </c>
      <c r="H535" s="3">
        <f>IF('Value at Risk'!$C$5=0,'Market Data - EQ'!C535-'Market Data - EQ'!C536,IF('Value at Risk'!$C$6=0,('Market Data - EQ'!C535-'Market Data - EQ'!C536)/'Market Data - EQ'!C536,LN('Market Data - EQ'!C535/'Market Data - EQ'!C536)))</f>
        <v>3.0542100519226358E-3</v>
      </c>
      <c r="I535" s="3">
        <f>IF('Value at Risk'!$C$5=0,'Market Data - EQ'!D535-'Market Data - EQ'!D536,IF('Value at Risk'!$C$6=0,('Market Data - EQ'!D535-'Market Data - EQ'!D536)/'Market Data - EQ'!D536,LN('Market Data - EQ'!D535/'Market Data - EQ'!D536)))</f>
        <v>-1.9923825733166299E-3</v>
      </c>
      <c r="J535" s="3">
        <f>IF('Value at Risk'!$C$5=0,'Market Data - EQ'!E535-'Market Data - EQ'!E536,IF('Value at Risk'!$C$6=0,('Market Data - EQ'!E535-'Market Data - EQ'!E536)/'Market Data - EQ'!E536,LN('Market Data - EQ'!E535/'Market Data - EQ'!E536)))</f>
        <v>-4.0556586458572385E-3</v>
      </c>
      <c r="K535" s="3">
        <f>IF('Value at Risk'!$C$5=0,'Market Data - EQ'!F535-'Market Data - EQ'!F536,IF('Value at Risk'!$C$6=0,('Market Data - EQ'!F535-'Market Data - EQ'!F536)/'Market Data - EQ'!F536,LN('Market Data - EQ'!F535/'Market Data - EQ'!F536)))</f>
        <v>-4.0127831090577583E-3</v>
      </c>
      <c r="L535" s="8">
        <f t="shared" si="8"/>
        <v>1.2730805793874985E-3</v>
      </c>
    </row>
    <row r="536" spans="1:12" x14ac:dyDescent="0.25">
      <c r="A536" s="5">
        <v>43035</v>
      </c>
      <c r="B536" s="4">
        <v>895.52502400000003</v>
      </c>
      <c r="C536" s="4">
        <v>311.04998799999998</v>
      </c>
      <c r="D536" s="4">
        <v>301.14999399999999</v>
      </c>
      <c r="E536" s="4">
        <v>1627.349976</v>
      </c>
      <c r="F536" s="4">
        <v>485.95001200000002</v>
      </c>
      <c r="G536" s="3">
        <f>IF('Value at Risk'!$C$5=0,'Market Data - EQ'!B536-'Market Data - EQ'!B537,IF('Value at Risk'!$C$6=0,('Market Data - EQ'!B536-'Market Data - EQ'!B537)/'Market Data - EQ'!B537,LN('Market Data - EQ'!B536/'Market Data - EQ'!B537)))</f>
        <v>-2.3950360974076225E-3</v>
      </c>
      <c r="H536" s="3">
        <f>IF('Value at Risk'!$C$5=0,'Market Data - EQ'!C536-'Market Data - EQ'!C537,IF('Value at Risk'!$C$6=0,('Market Data - EQ'!C536-'Market Data - EQ'!C537)/'Market Data - EQ'!C537,LN('Market Data - EQ'!C536/'Market Data - EQ'!C537)))</f>
        <v>-2.9485216848673994E-2</v>
      </c>
      <c r="I536" s="3">
        <f>IF('Value at Risk'!$C$5=0,'Market Data - EQ'!D536-'Market Data - EQ'!D537,IF('Value at Risk'!$C$6=0,('Market Data - EQ'!D536-'Market Data - EQ'!D537)/'Market Data - EQ'!D537,LN('Market Data - EQ'!D536/'Market Data - EQ'!D537)))</f>
        <v>6.3491862990810105E-3</v>
      </c>
      <c r="J536" s="3">
        <f>IF('Value at Risk'!$C$5=0,'Market Data - EQ'!E536-'Market Data - EQ'!E537,IF('Value at Risk'!$C$6=0,('Market Data - EQ'!E536-'Market Data - EQ'!E537)/'Market Data - EQ'!E537,LN('Market Data - EQ'!E536/'Market Data - EQ'!E537)))</f>
        <v>6.0274481606446316E-3</v>
      </c>
      <c r="K536" s="3">
        <f>IF('Value at Risk'!$C$5=0,'Market Data - EQ'!F536-'Market Data - EQ'!F537,IF('Value at Risk'!$C$6=0,('Market Data - EQ'!F536-'Market Data - EQ'!F537)/'Market Data - EQ'!F537,LN('Market Data - EQ'!F536/'Market Data - EQ'!F537)))</f>
        <v>3.4070287856377778E-3</v>
      </c>
      <c r="L536" s="8">
        <f t="shared" si="8"/>
        <v>-3.2193179401436393E-3</v>
      </c>
    </row>
    <row r="537" spans="1:12" x14ac:dyDescent="0.25">
      <c r="A537" s="5">
        <v>43034</v>
      </c>
      <c r="B537" s="4">
        <v>897.67498799999998</v>
      </c>
      <c r="C537" s="4">
        <v>320.5</v>
      </c>
      <c r="D537" s="4">
        <v>299.25</v>
      </c>
      <c r="E537" s="4">
        <v>1617.599976</v>
      </c>
      <c r="F537" s="4">
        <v>484.29998799999998</v>
      </c>
      <c r="G537" s="3">
        <f>IF('Value at Risk'!$C$5=0,'Market Data - EQ'!B537-'Market Data - EQ'!B538,IF('Value at Risk'!$C$6=0,('Market Data - EQ'!B537-'Market Data - EQ'!B538)/'Market Data - EQ'!B538,LN('Market Data - EQ'!B537/'Market Data - EQ'!B538)))</f>
        <v>1.3926800921532629E-4</v>
      </c>
      <c r="H537" s="3">
        <f>IF('Value at Risk'!$C$5=0,'Market Data - EQ'!C537-'Market Data - EQ'!C538,IF('Value at Risk'!$C$6=0,('Market Data - EQ'!C537-'Market Data - EQ'!C538)/'Market Data - EQ'!C538,LN('Market Data - EQ'!C537/'Market Data - EQ'!C538)))</f>
        <v>-1.354261028395092E-2</v>
      </c>
      <c r="I537" s="3">
        <f>IF('Value at Risk'!$C$5=0,'Market Data - EQ'!D537-'Market Data - EQ'!D538,IF('Value at Risk'!$C$6=0,('Market Data - EQ'!D537-'Market Data - EQ'!D538)/'Market Data - EQ'!D538,LN('Market Data - EQ'!D537/'Market Data - EQ'!D538)))</f>
        <v>-2.1099155207098961E-2</v>
      </c>
      <c r="J537" s="3">
        <f>IF('Value at Risk'!$C$5=0,'Market Data - EQ'!E537-'Market Data - EQ'!E538,IF('Value at Risk'!$C$6=0,('Market Data - EQ'!E537-'Market Data - EQ'!E538)/'Market Data - EQ'!E538,LN('Market Data - EQ'!E537/'Market Data - EQ'!E538)))</f>
        <v>1.582513917369794E-2</v>
      </c>
      <c r="K537" s="3">
        <f>IF('Value at Risk'!$C$5=0,'Market Data - EQ'!F537-'Market Data - EQ'!F538,IF('Value at Risk'!$C$6=0,('Market Data - EQ'!F537-'Market Data - EQ'!F538)/'Market Data - EQ'!F538,LN('Market Data - EQ'!F537/'Market Data - EQ'!F538)))</f>
        <v>2.3890038054968254E-2</v>
      </c>
      <c r="L537" s="8">
        <f t="shared" si="8"/>
        <v>1.0425359493663286E-3</v>
      </c>
    </row>
    <row r="538" spans="1:12" x14ac:dyDescent="0.25">
      <c r="A538" s="5">
        <v>43033</v>
      </c>
      <c r="B538" s="4">
        <v>897.54998799999998</v>
      </c>
      <c r="C538" s="4">
        <v>324.89999399999999</v>
      </c>
      <c r="D538" s="4">
        <v>305.70001200000002</v>
      </c>
      <c r="E538" s="4">
        <v>1592.400024</v>
      </c>
      <c r="F538" s="4">
        <v>473</v>
      </c>
      <c r="G538" s="3">
        <f>IF('Value at Risk'!$C$5=0,'Market Data - EQ'!B538-'Market Data - EQ'!B539,IF('Value at Risk'!$C$6=0,('Market Data - EQ'!B538-'Market Data - EQ'!B539)/'Market Data - EQ'!B539,LN('Market Data - EQ'!B538/'Market Data - EQ'!B539)))</f>
        <v>-3.8562477063627795E-2</v>
      </c>
      <c r="H538" s="3">
        <f>IF('Value at Risk'!$C$5=0,'Market Data - EQ'!C538-'Market Data - EQ'!C539,IF('Value at Risk'!$C$6=0,('Market Data - EQ'!C538-'Market Data - EQ'!C539)/'Market Data - EQ'!C539,LN('Market Data - EQ'!C538/'Market Data - EQ'!C539)))</f>
        <v>0.27687167549858527</v>
      </c>
      <c r="I538" s="3">
        <f>IF('Value at Risk'!$C$5=0,'Market Data - EQ'!D538-'Market Data - EQ'!D539,IF('Value at Risk'!$C$6=0,('Market Data - EQ'!D538-'Market Data - EQ'!D539)/'Market Data - EQ'!D539,LN('Market Data - EQ'!D538/'Market Data - EQ'!D539)))</f>
        <v>0.14687685523362332</v>
      </c>
      <c r="J538" s="3">
        <f>IF('Value at Risk'!$C$5=0,'Market Data - EQ'!E538-'Market Data - EQ'!E539,IF('Value at Risk'!$C$6=0,('Market Data - EQ'!E538-'Market Data - EQ'!E539)/'Market Data - EQ'!E539,LN('Market Data - EQ'!E538/'Market Data - EQ'!E539)))</f>
        <v>-4.3546158300734099E-2</v>
      </c>
      <c r="K538" s="3">
        <f>IF('Value at Risk'!$C$5=0,'Market Data - EQ'!F538-'Market Data - EQ'!F539,IF('Value at Risk'!$C$6=0,('Market Data - EQ'!F538-'Market Data - EQ'!F539)/'Market Data - EQ'!F539,LN('Market Data - EQ'!F538/'Market Data - EQ'!F539)))</f>
        <v>4.657592087861253E-2</v>
      </c>
      <c r="L538" s="8">
        <f t="shared" si="8"/>
        <v>7.7643163249291838E-2</v>
      </c>
    </row>
    <row r="539" spans="1:12" x14ac:dyDescent="0.25">
      <c r="A539" s="5">
        <v>43032</v>
      </c>
      <c r="B539" s="4">
        <v>933.54998799999998</v>
      </c>
      <c r="C539" s="4">
        <v>254.449997</v>
      </c>
      <c r="D539" s="4">
        <v>266.54998799999998</v>
      </c>
      <c r="E539" s="4">
        <v>1664.900024</v>
      </c>
      <c r="F539" s="4">
        <v>451.95001200000002</v>
      </c>
      <c r="G539" s="3">
        <f>IF('Value at Risk'!$C$5=0,'Market Data - EQ'!B539-'Market Data - EQ'!B540,IF('Value at Risk'!$C$6=0,('Market Data - EQ'!B539-'Market Data - EQ'!B540)/'Market Data - EQ'!B540,LN('Market Data - EQ'!B539/'Market Data - EQ'!B540)))</f>
        <v>2.0393537820592106E-3</v>
      </c>
      <c r="H539" s="3">
        <f>IF('Value at Risk'!$C$5=0,'Market Data - EQ'!C539-'Market Data - EQ'!C540,IF('Value at Risk'!$C$6=0,('Market Data - EQ'!C539-'Market Data - EQ'!C540)/'Market Data - EQ'!C540,LN('Market Data - EQ'!C539/'Market Data - EQ'!C540)))</f>
        <v>3.4559870313802039E-2</v>
      </c>
      <c r="I539" s="3">
        <f>IF('Value at Risk'!$C$5=0,'Market Data - EQ'!D539-'Market Data - EQ'!D540,IF('Value at Risk'!$C$6=0,('Market Data - EQ'!D539-'Market Data - EQ'!D540)/'Market Data - EQ'!D540,LN('Market Data - EQ'!D539/'Market Data - EQ'!D540)))</f>
        <v>1.5235193992848327E-2</v>
      </c>
      <c r="J539" s="3">
        <f>IF('Value at Risk'!$C$5=0,'Market Data - EQ'!E539-'Market Data - EQ'!E540,IF('Value at Risk'!$C$6=0,('Market Data - EQ'!E539-'Market Data - EQ'!E540)/'Market Data - EQ'!E540,LN('Market Data - EQ'!E539/'Market Data - EQ'!E540)))</f>
        <v>-1.8047759363019739E-2</v>
      </c>
      <c r="K539" s="3">
        <f>IF('Value at Risk'!$C$5=0,'Market Data - EQ'!F539-'Market Data - EQ'!F540,IF('Value at Risk'!$C$6=0,('Market Data - EQ'!F539-'Market Data - EQ'!F540)/'Market Data - EQ'!F540,LN('Market Data - EQ'!F539/'Market Data - EQ'!F540)))</f>
        <v>4.4449382079358628E-3</v>
      </c>
      <c r="L539" s="8">
        <f t="shared" si="8"/>
        <v>7.646319386725141E-3</v>
      </c>
    </row>
    <row r="540" spans="1:12" x14ac:dyDescent="0.25">
      <c r="A540" s="5">
        <v>43031</v>
      </c>
      <c r="B540" s="4">
        <v>931.65002400000003</v>
      </c>
      <c r="C540" s="4">
        <v>245.949997</v>
      </c>
      <c r="D540" s="4">
        <v>262.54998799999998</v>
      </c>
      <c r="E540" s="4">
        <v>1695.5</v>
      </c>
      <c r="F540" s="4">
        <v>449.95001200000002</v>
      </c>
      <c r="G540" s="3">
        <f>IF('Value at Risk'!$C$5=0,'Market Data - EQ'!B540-'Market Data - EQ'!B541,IF('Value at Risk'!$C$6=0,('Market Data - EQ'!B540-'Market Data - EQ'!B541)/'Market Data - EQ'!B541,LN('Market Data - EQ'!B540/'Market Data - EQ'!B541)))</f>
        <v>8.0610386315381425E-3</v>
      </c>
      <c r="H540" s="3">
        <f>IF('Value at Risk'!$C$5=0,'Market Data - EQ'!C540-'Market Data - EQ'!C541,IF('Value at Risk'!$C$6=0,('Market Data - EQ'!C540-'Market Data - EQ'!C541)/'Market Data - EQ'!C541,LN('Market Data - EQ'!C540/'Market Data - EQ'!C541)))</f>
        <v>1.3182273944387214E-2</v>
      </c>
      <c r="I540" s="3">
        <f>IF('Value at Risk'!$C$5=0,'Market Data - EQ'!D540-'Market Data - EQ'!D541,IF('Value at Risk'!$C$6=0,('Market Data - EQ'!D540-'Market Data - EQ'!D541)/'Market Data - EQ'!D541,LN('Market Data - EQ'!D540/'Market Data - EQ'!D541)))</f>
        <v>1.8227581503333288E-2</v>
      </c>
      <c r="J540" s="3">
        <f>IF('Value at Risk'!$C$5=0,'Market Data - EQ'!E540-'Market Data - EQ'!E541,IF('Value at Risk'!$C$6=0,('Market Data - EQ'!E540-'Market Data - EQ'!E541)/'Market Data - EQ'!E541,LN('Market Data - EQ'!E540/'Market Data - EQ'!E541)))</f>
        <v>2.7501103385886854E-3</v>
      </c>
      <c r="K540" s="3">
        <f>IF('Value at Risk'!$C$5=0,'Market Data - EQ'!F540-'Market Data - EQ'!F541,IF('Value at Risk'!$C$6=0,('Market Data - EQ'!F540-'Market Data - EQ'!F541)/'Market Data - EQ'!F541,LN('Market Data - EQ'!F540/'Market Data - EQ'!F541)))</f>
        <v>-2.2485284096944121E-2</v>
      </c>
      <c r="L540" s="8">
        <f t="shared" si="8"/>
        <v>3.9471440641806422E-3</v>
      </c>
    </row>
    <row r="541" spans="1:12" x14ac:dyDescent="0.25">
      <c r="A541" s="5">
        <v>43027</v>
      </c>
      <c r="B541" s="4">
        <v>924.20001200000002</v>
      </c>
      <c r="C541" s="4">
        <v>242.75</v>
      </c>
      <c r="D541" s="4">
        <v>257.85000600000001</v>
      </c>
      <c r="E541" s="4">
        <v>1690.849976</v>
      </c>
      <c r="F541" s="4">
        <v>460.29998799999998</v>
      </c>
      <c r="G541" s="3">
        <f>IF('Value at Risk'!$C$5=0,'Market Data - EQ'!B541-'Market Data - EQ'!B542,IF('Value at Risk'!$C$6=0,('Market Data - EQ'!B541-'Market Data - EQ'!B542)/'Market Data - EQ'!B542,LN('Market Data - EQ'!B541/'Market Data - EQ'!B542)))</f>
        <v>-1.0757279100883045E-2</v>
      </c>
      <c r="H541" s="3">
        <f>IF('Value at Risk'!$C$5=0,'Market Data - EQ'!C541-'Market Data - EQ'!C542,IF('Value at Risk'!$C$6=0,('Market Data - EQ'!C541-'Market Data - EQ'!C542)/'Market Data - EQ'!C542,LN('Market Data - EQ'!C541/'Market Data - EQ'!C542)))</f>
        <v>-4.1025641025641026E-3</v>
      </c>
      <c r="I541" s="3">
        <f>IF('Value at Risk'!$C$5=0,'Market Data - EQ'!D541-'Market Data - EQ'!D542,IF('Value at Risk'!$C$6=0,('Market Data - EQ'!D541-'Market Data - EQ'!D542)/'Market Data - EQ'!D542,LN('Market Data - EQ'!D541/'Market Data - EQ'!D542)))</f>
        <v>-2.014055907597697E-2</v>
      </c>
      <c r="J541" s="3">
        <f>IF('Value at Risk'!$C$5=0,'Market Data - EQ'!E541-'Market Data - EQ'!E542,IF('Value at Risk'!$C$6=0,('Market Data - EQ'!E541-'Market Data - EQ'!E542)/'Market Data - EQ'!E542,LN('Market Data - EQ'!E541/'Market Data - EQ'!E542)))</f>
        <v>-1.021487589970793E-2</v>
      </c>
      <c r="K541" s="3">
        <f>IF('Value at Risk'!$C$5=0,'Market Data - EQ'!F541-'Market Data - EQ'!F542,IF('Value at Risk'!$C$6=0,('Market Data - EQ'!F541-'Market Data - EQ'!F542)/'Market Data - EQ'!F542,LN('Market Data - EQ'!F541/'Market Data - EQ'!F542)))</f>
        <v>-9.0420064585576207E-3</v>
      </c>
      <c r="L541" s="8">
        <f t="shared" si="8"/>
        <v>-1.0851456927537934E-2</v>
      </c>
    </row>
    <row r="542" spans="1:12" x14ac:dyDescent="0.25">
      <c r="A542" s="5">
        <v>43026</v>
      </c>
      <c r="B542" s="4">
        <v>934.25</v>
      </c>
      <c r="C542" s="4">
        <v>243.75</v>
      </c>
      <c r="D542" s="4">
        <v>263.14999399999999</v>
      </c>
      <c r="E542" s="4">
        <v>1708.3000489999999</v>
      </c>
      <c r="F542" s="4">
        <v>464.5</v>
      </c>
      <c r="G542" s="3">
        <f>IF('Value at Risk'!$C$5=0,'Market Data - EQ'!B542-'Market Data - EQ'!B543,IF('Value at Risk'!$C$6=0,('Market Data - EQ'!B542-'Market Data - EQ'!B543)/'Market Data - EQ'!B543,LN('Market Data - EQ'!B542/'Market Data - EQ'!B543)))</f>
        <v>9.3180283592167457E-3</v>
      </c>
      <c r="H542" s="3">
        <f>IF('Value at Risk'!$C$5=0,'Market Data - EQ'!C542-'Market Data - EQ'!C543,IF('Value at Risk'!$C$6=0,('Market Data - EQ'!C542-'Market Data - EQ'!C543)/'Market Data - EQ'!C543,LN('Market Data - EQ'!C542/'Market Data - EQ'!C543)))</f>
        <v>-2.9464440281850027E-2</v>
      </c>
      <c r="I542" s="3">
        <f>IF('Value at Risk'!$C$5=0,'Market Data - EQ'!D542-'Market Data - EQ'!D543,IF('Value at Risk'!$C$6=0,('Market Data - EQ'!D542-'Market Data - EQ'!D543)/'Market Data - EQ'!D543,LN('Market Data - EQ'!D542/'Market Data - EQ'!D543)))</f>
        <v>-3.9247901553440705E-2</v>
      </c>
      <c r="J542" s="3">
        <f>IF('Value at Risk'!$C$5=0,'Market Data - EQ'!E542-'Market Data - EQ'!E543,IF('Value at Risk'!$C$6=0,('Market Data - EQ'!E542-'Market Data - EQ'!E543)/'Market Data - EQ'!E543,LN('Market Data - EQ'!E542/'Market Data - EQ'!E543)))</f>
        <v>3.5140716590668155E-4</v>
      </c>
      <c r="K542" s="3">
        <f>IF('Value at Risk'!$C$5=0,'Market Data - EQ'!F542-'Market Data - EQ'!F543,IF('Value at Risk'!$C$6=0,('Market Data - EQ'!F542-'Market Data - EQ'!F543)/'Market Data - EQ'!F543,LN('Market Data - EQ'!F542/'Market Data - EQ'!F543)))</f>
        <v>-9.4806629103850584E-2</v>
      </c>
      <c r="L542" s="8">
        <f t="shared" si="8"/>
        <v>-3.0769907082803576E-2</v>
      </c>
    </row>
    <row r="543" spans="1:12" x14ac:dyDescent="0.25">
      <c r="A543" s="5">
        <v>43025</v>
      </c>
      <c r="B543" s="4">
        <v>925.625</v>
      </c>
      <c r="C543" s="4">
        <v>251.14999399999999</v>
      </c>
      <c r="D543" s="4">
        <v>273.89999399999999</v>
      </c>
      <c r="E543" s="4">
        <v>1707.6999510000001</v>
      </c>
      <c r="F543" s="4">
        <v>513.15002400000003</v>
      </c>
      <c r="G543" s="3">
        <f>IF('Value at Risk'!$C$5=0,'Market Data - EQ'!B543-'Market Data - EQ'!B544,IF('Value at Risk'!$C$6=0,('Market Data - EQ'!B543-'Market Data - EQ'!B544)/'Market Data - EQ'!B544,LN('Market Data - EQ'!B543/'Market Data - EQ'!B544)))</f>
        <v>-3.176923740006925E-3</v>
      </c>
      <c r="H543" s="3">
        <f>IF('Value at Risk'!$C$5=0,'Market Data - EQ'!C543-'Market Data - EQ'!C544,IF('Value at Risk'!$C$6=0,('Market Data - EQ'!C543-'Market Data - EQ'!C544)/'Market Data - EQ'!C544,LN('Market Data - EQ'!C543/'Market Data - EQ'!C544)))</f>
        <v>-3.5707557599196351E-3</v>
      </c>
      <c r="I543" s="3">
        <f>IF('Value at Risk'!$C$5=0,'Market Data - EQ'!D543-'Market Data - EQ'!D544,IF('Value at Risk'!$C$6=0,('Market Data - EQ'!D543-'Market Data - EQ'!D544)/'Market Data - EQ'!D544,LN('Market Data - EQ'!D543/'Market Data - EQ'!D544)))</f>
        <v>-1.276229717411149E-3</v>
      </c>
      <c r="J543" s="3">
        <f>IF('Value at Risk'!$C$5=0,'Market Data - EQ'!E543-'Market Data - EQ'!E544,IF('Value at Risk'!$C$6=0,('Market Data - EQ'!E543-'Market Data - EQ'!E544)/'Market Data - EQ'!E544,LN('Market Data - EQ'!E543/'Market Data - EQ'!E544)))</f>
        <v>-4.8368583916083589E-3</v>
      </c>
      <c r="K543" s="3">
        <f>IF('Value at Risk'!$C$5=0,'Market Data - EQ'!F543-'Market Data - EQ'!F544,IF('Value at Risk'!$C$6=0,('Market Data - EQ'!F543-'Market Data - EQ'!F544)/'Market Data - EQ'!F544,LN('Market Data - EQ'!F543/'Market Data - EQ'!F544)))</f>
        <v>-1.3836748980651322E-2</v>
      </c>
      <c r="L543" s="8">
        <f t="shared" si="8"/>
        <v>-5.3395033179194779E-3</v>
      </c>
    </row>
    <row r="544" spans="1:12" x14ac:dyDescent="0.25">
      <c r="A544" s="5">
        <v>43024</v>
      </c>
      <c r="B544" s="4">
        <v>928.57501200000002</v>
      </c>
      <c r="C544" s="4">
        <v>252.050003</v>
      </c>
      <c r="D544" s="4">
        <v>274.25</v>
      </c>
      <c r="E544" s="4">
        <v>1716</v>
      </c>
      <c r="F544" s="4">
        <v>520.34997599999997</v>
      </c>
      <c r="G544" s="3">
        <f>IF('Value at Risk'!$C$5=0,'Market Data - EQ'!B544-'Market Data - EQ'!B545,IF('Value at Risk'!$C$6=0,('Market Data - EQ'!B544-'Market Data - EQ'!B545)/'Market Data - EQ'!B545,LN('Market Data - EQ'!B544/'Market Data - EQ'!B545)))</f>
        <v>3.4309357225605439E-3</v>
      </c>
      <c r="H544" s="3">
        <f>IF('Value at Risk'!$C$5=0,'Market Data - EQ'!C544-'Market Data - EQ'!C545,IF('Value at Risk'!$C$6=0,('Market Data - EQ'!C544-'Market Data - EQ'!C545)/'Market Data - EQ'!C545,LN('Market Data - EQ'!C544/'Market Data - EQ'!C545)))</f>
        <v>-1.9834588976568208E-4</v>
      </c>
      <c r="I544" s="3">
        <f>IF('Value at Risk'!$C$5=0,'Market Data - EQ'!D544-'Market Data - EQ'!D545,IF('Value at Risk'!$C$6=0,('Market Data - EQ'!D544-'Market Data - EQ'!D545)/'Market Data - EQ'!D545,LN('Market Data - EQ'!D544/'Market Data - EQ'!D545)))</f>
        <v>1.0873616404288286E-2</v>
      </c>
      <c r="J544" s="3">
        <f>IF('Value at Risk'!$C$5=0,'Market Data - EQ'!E544-'Market Data - EQ'!E545,IF('Value at Risk'!$C$6=0,('Market Data - EQ'!E544-'Market Data - EQ'!E545)/'Market Data - EQ'!E545,LN('Market Data - EQ'!E544/'Market Data - EQ'!E545)))</f>
        <v>-1.9624633056812158E-2</v>
      </c>
      <c r="K544" s="3">
        <f>IF('Value at Risk'!$C$5=0,'Market Data - EQ'!F544-'Market Data - EQ'!F545,IF('Value at Risk'!$C$6=0,('Market Data - EQ'!F544-'Market Data - EQ'!F545)/'Market Data - EQ'!F545,LN('Market Data - EQ'!F544/'Market Data - EQ'!F545)))</f>
        <v>-1.7187715164316674E-2</v>
      </c>
      <c r="L544" s="8">
        <f t="shared" si="8"/>
        <v>-4.5412283968091372E-3</v>
      </c>
    </row>
    <row r="545" spans="1:12" x14ac:dyDescent="0.25">
      <c r="A545" s="5">
        <v>43021</v>
      </c>
      <c r="B545" s="4">
        <v>925.40002400000003</v>
      </c>
      <c r="C545" s="4">
        <v>252.10000600000001</v>
      </c>
      <c r="D545" s="4">
        <v>271.29998799999998</v>
      </c>
      <c r="E545" s="4">
        <v>1750.349976</v>
      </c>
      <c r="F545" s="4">
        <v>529.45001200000002</v>
      </c>
      <c r="G545" s="3">
        <f>IF('Value at Risk'!$C$5=0,'Market Data - EQ'!B545-'Market Data - EQ'!B546,IF('Value at Risk'!$C$6=0,('Market Data - EQ'!B545-'Market Data - EQ'!B546)/'Market Data - EQ'!B546,LN('Market Data - EQ'!B545/'Market Data - EQ'!B546)))</f>
        <v>1.759401756954429E-2</v>
      </c>
      <c r="H545" s="3">
        <f>IF('Value at Risk'!$C$5=0,'Market Data - EQ'!C545-'Market Data - EQ'!C546,IF('Value at Risk'!$C$6=0,('Market Data - EQ'!C545-'Market Data - EQ'!C546)/'Market Data - EQ'!C546,LN('Market Data - EQ'!C545/'Market Data - EQ'!C546)))</f>
        <v>3.582838418584899E-3</v>
      </c>
      <c r="I545" s="3">
        <f>IF('Value at Risk'!$C$5=0,'Market Data - EQ'!D545-'Market Data - EQ'!D546,IF('Value at Risk'!$C$6=0,('Market Data - EQ'!D545-'Market Data - EQ'!D546)/'Market Data - EQ'!D546,LN('Market Data - EQ'!D545/'Market Data - EQ'!D546)))</f>
        <v>1.4016072390928308E-2</v>
      </c>
      <c r="J545" s="3">
        <f>IF('Value at Risk'!$C$5=0,'Market Data - EQ'!E545-'Market Data - EQ'!E546,IF('Value at Risk'!$C$6=0,('Market Data - EQ'!E545-'Market Data - EQ'!E546)/'Market Data - EQ'!E546,LN('Market Data - EQ'!E545/'Market Data - EQ'!E546)))</f>
        <v>4.2168537005163337E-3</v>
      </c>
      <c r="K545" s="3">
        <f>IF('Value at Risk'!$C$5=0,'Market Data - EQ'!F545-'Market Data - EQ'!F546,IF('Value at Risk'!$C$6=0,('Market Data - EQ'!F545-'Market Data - EQ'!F546)/'Market Data - EQ'!F546,LN('Market Data - EQ'!F545/'Market Data - EQ'!F546)))</f>
        <v>8.2842052919843319E-3</v>
      </c>
      <c r="L545" s="8">
        <f t="shared" si="8"/>
        <v>9.5387974743116333E-3</v>
      </c>
    </row>
    <row r="546" spans="1:12" x14ac:dyDescent="0.25">
      <c r="A546" s="5">
        <v>43020</v>
      </c>
      <c r="B546" s="4">
        <v>909.40002400000003</v>
      </c>
      <c r="C546" s="4">
        <v>251.199997</v>
      </c>
      <c r="D546" s="4">
        <v>267.54998799999998</v>
      </c>
      <c r="E546" s="4">
        <v>1743</v>
      </c>
      <c r="F546" s="4">
        <v>525.09997599999997</v>
      </c>
      <c r="G546" s="3">
        <f>IF('Value at Risk'!$C$5=0,'Market Data - EQ'!B546-'Market Data - EQ'!B547,IF('Value at Risk'!$C$6=0,('Market Data - EQ'!B546-'Market Data - EQ'!B547)/'Market Data - EQ'!B547,LN('Market Data - EQ'!B546/'Market Data - EQ'!B547)))</f>
        <v>1.600425864642506E-2</v>
      </c>
      <c r="H546" s="3">
        <f>IF('Value at Risk'!$C$5=0,'Market Data - EQ'!C546-'Market Data - EQ'!C547,IF('Value at Risk'!$C$6=0,('Market Data - EQ'!C546-'Market Data - EQ'!C547)/'Market Data - EQ'!C547,LN('Market Data - EQ'!C546/'Market Data - EQ'!C547)))</f>
        <v>-2.1847189672294094E-3</v>
      </c>
      <c r="I546" s="3">
        <f>IF('Value at Risk'!$C$5=0,'Market Data - EQ'!D546-'Market Data - EQ'!D547,IF('Value at Risk'!$C$6=0,('Market Data - EQ'!D546-'Market Data - EQ'!D547)/'Market Data - EQ'!D547,LN('Market Data - EQ'!D546/'Market Data - EQ'!D547)))</f>
        <v>-1.8691329924717105E-4</v>
      </c>
      <c r="J546" s="3">
        <f>IF('Value at Risk'!$C$5=0,'Market Data - EQ'!E546-'Market Data - EQ'!E547,IF('Value at Risk'!$C$6=0,('Market Data - EQ'!E546-'Market Data - EQ'!E547)/'Market Data - EQ'!E547,LN('Market Data - EQ'!E546/'Market Data - EQ'!E547)))</f>
        <v>1.4994904644052991E-2</v>
      </c>
      <c r="K546" s="3">
        <f>IF('Value at Risk'!$C$5=0,'Market Data - EQ'!F546-'Market Data - EQ'!F547,IF('Value at Risk'!$C$6=0,('Market Data - EQ'!F546-'Market Data - EQ'!F547)/'Market Data - EQ'!F547,LN('Market Data - EQ'!F546/'Market Data - EQ'!F547)))</f>
        <v>1.8128891904992669E-2</v>
      </c>
      <c r="L546" s="8">
        <f t="shared" si="8"/>
        <v>9.3512845857988275E-3</v>
      </c>
    </row>
    <row r="547" spans="1:12" x14ac:dyDescent="0.25">
      <c r="A547" s="5">
        <v>43019</v>
      </c>
      <c r="B547" s="4">
        <v>895.07501200000002</v>
      </c>
      <c r="C547" s="4">
        <v>251.75</v>
      </c>
      <c r="D547" s="4">
        <v>267.60000600000001</v>
      </c>
      <c r="E547" s="4">
        <v>1717.25</v>
      </c>
      <c r="F547" s="4">
        <v>515.75</v>
      </c>
      <c r="G547" s="3">
        <f>IF('Value at Risk'!$C$5=0,'Market Data - EQ'!B547-'Market Data - EQ'!B548,IF('Value at Risk'!$C$6=0,('Market Data - EQ'!B547-'Market Data - EQ'!B548)/'Market Data - EQ'!B548,LN('Market Data - EQ'!B547/'Market Data - EQ'!B548)))</f>
        <v>-6.9617397981713092E-3</v>
      </c>
      <c r="H547" s="3">
        <f>IF('Value at Risk'!$C$5=0,'Market Data - EQ'!C547-'Market Data - EQ'!C548,IF('Value at Risk'!$C$6=0,('Market Data - EQ'!C547-'Market Data - EQ'!C548)/'Market Data - EQ'!C548,LN('Market Data - EQ'!C547/'Market Data - EQ'!C548)))</f>
        <v>-2.0237446028996547E-2</v>
      </c>
      <c r="I547" s="3">
        <f>IF('Value at Risk'!$C$5=0,'Market Data - EQ'!D547-'Market Data - EQ'!D548,IF('Value at Risk'!$C$6=0,('Market Data - EQ'!D547-'Market Data - EQ'!D548)/'Market Data - EQ'!D548,LN('Market Data - EQ'!D547/'Market Data - EQ'!D548)))</f>
        <v>-8.1541219342084522E-3</v>
      </c>
      <c r="J547" s="3">
        <f>IF('Value at Risk'!$C$5=0,'Market Data - EQ'!E547-'Market Data - EQ'!E548,IF('Value at Risk'!$C$6=0,('Market Data - EQ'!E547-'Market Data - EQ'!E548)/'Market Data - EQ'!E548,LN('Market Data - EQ'!E547/'Market Data - EQ'!E548)))</f>
        <v>-4.579325792015889E-3</v>
      </c>
      <c r="K547" s="3">
        <f>IF('Value at Risk'!$C$5=0,'Market Data - EQ'!F547-'Market Data - EQ'!F548,IF('Value at Risk'!$C$6=0,('Market Data - EQ'!F547-'Market Data - EQ'!F548)/'Market Data - EQ'!F548,LN('Market Data - EQ'!F547/'Market Data - EQ'!F548)))</f>
        <v>2.3321582508714685E-3</v>
      </c>
      <c r="L547" s="8">
        <f t="shared" si="8"/>
        <v>-7.520095060504146E-3</v>
      </c>
    </row>
    <row r="548" spans="1:12" x14ac:dyDescent="0.25">
      <c r="A548" s="5">
        <v>43018</v>
      </c>
      <c r="B548" s="4">
        <v>901.34997599999997</v>
      </c>
      <c r="C548" s="4">
        <v>256.95001200000002</v>
      </c>
      <c r="D548" s="4">
        <v>269.79998799999998</v>
      </c>
      <c r="E548" s="4">
        <v>1725.150024</v>
      </c>
      <c r="F548" s="4">
        <v>514.54998799999998</v>
      </c>
      <c r="G548" s="3">
        <f>IF('Value at Risk'!$C$5=0,'Market Data - EQ'!B548-'Market Data - EQ'!B549,IF('Value at Risk'!$C$6=0,('Market Data - EQ'!B548-'Market Data - EQ'!B549)/'Market Data - EQ'!B549,LN('Market Data - EQ'!B548/'Market Data - EQ'!B549)))</f>
        <v>4.00999832915619E-3</v>
      </c>
      <c r="H548" s="3">
        <f>IF('Value at Risk'!$C$5=0,'Market Data - EQ'!C548-'Market Data - EQ'!C549,IF('Value at Risk'!$C$6=0,('Market Data - EQ'!C548-'Market Data - EQ'!C549)/'Market Data - EQ'!C549,LN('Market Data - EQ'!C548/'Market Data - EQ'!C549)))</f>
        <v>3.8935564595629244E-4</v>
      </c>
      <c r="I548" s="3">
        <f>IF('Value at Risk'!$C$5=0,'Market Data - EQ'!D548-'Market Data - EQ'!D549,IF('Value at Risk'!$C$6=0,('Market Data - EQ'!D548-'Market Data - EQ'!D549)/'Market Data - EQ'!D549,LN('Market Data - EQ'!D548/'Market Data - EQ'!D549)))</f>
        <v>-7.1757571297148669E-3</v>
      </c>
      <c r="J548" s="3">
        <f>IF('Value at Risk'!$C$5=0,'Market Data - EQ'!E548-'Market Data - EQ'!E549,IF('Value at Risk'!$C$6=0,('Market Data - EQ'!E548-'Market Data - EQ'!E549)/'Market Data - EQ'!E549,LN('Market Data - EQ'!E548/'Market Data - EQ'!E549)))</f>
        <v>1.5092688437775835E-2</v>
      </c>
      <c r="K548" s="3">
        <f>IF('Value at Risk'!$C$5=0,'Market Data - EQ'!F548-'Market Data - EQ'!F549,IF('Value at Risk'!$C$6=0,('Market Data - EQ'!F548-'Market Data - EQ'!F549)/'Market Data - EQ'!F549,LN('Market Data - EQ'!F548/'Market Data - EQ'!F549)))</f>
        <v>1.6997679209463028E-2</v>
      </c>
      <c r="L548" s="8">
        <f t="shared" si="8"/>
        <v>5.8627928985272955E-3</v>
      </c>
    </row>
    <row r="549" spans="1:12" x14ac:dyDescent="0.25">
      <c r="A549" s="5">
        <v>43017</v>
      </c>
      <c r="B549" s="4">
        <v>897.75</v>
      </c>
      <c r="C549" s="4">
        <v>256.85000600000001</v>
      </c>
      <c r="D549" s="4">
        <v>271.75</v>
      </c>
      <c r="E549" s="4">
        <v>1699.5</v>
      </c>
      <c r="F549" s="4">
        <v>505.95001200000002</v>
      </c>
      <c r="G549" s="3">
        <f>IF('Value at Risk'!$C$5=0,'Market Data - EQ'!B549-'Market Data - EQ'!B550,IF('Value at Risk'!$C$6=0,('Market Data - EQ'!B549-'Market Data - EQ'!B550)/'Market Data - EQ'!B550,LN('Market Data - EQ'!B549/'Market Data - EQ'!B550)))</f>
        <v>-2.5554002896114531E-3</v>
      </c>
      <c r="H549" s="3">
        <f>IF('Value at Risk'!$C$5=0,'Market Data - EQ'!C549-'Market Data - EQ'!C550,IF('Value at Risk'!$C$6=0,('Market Data - EQ'!C549-'Market Data - EQ'!C550)/'Market Data - EQ'!C550,LN('Market Data - EQ'!C549/'Market Data - EQ'!C550)))</f>
        <v>3.8950730282378805E-4</v>
      </c>
      <c r="I549" s="3">
        <f>IF('Value at Risk'!$C$5=0,'Market Data - EQ'!D549-'Market Data - EQ'!D550,IF('Value at Risk'!$C$6=0,('Market Data - EQ'!D549-'Market Data - EQ'!D550)/'Market Data - EQ'!D550,LN('Market Data - EQ'!D549/'Market Data - EQ'!D550)))</f>
        <v>-7.3547340016302397E-4</v>
      </c>
      <c r="J549" s="3">
        <f>IF('Value at Risk'!$C$5=0,'Market Data - EQ'!E549-'Market Data - EQ'!E550,IF('Value at Risk'!$C$6=0,('Market Data - EQ'!E549-'Market Data - EQ'!E550)/'Market Data - EQ'!E550,LN('Market Data - EQ'!E549/'Market Data - EQ'!E550)))</f>
        <v>1.0104011887072809E-2</v>
      </c>
      <c r="K549" s="3">
        <f>IF('Value at Risk'!$C$5=0,'Market Data - EQ'!F549-'Market Data - EQ'!F550,IF('Value at Risk'!$C$6=0,('Market Data - EQ'!F549-'Market Data - EQ'!F550)/'Market Data - EQ'!F550,LN('Market Data - EQ'!F549/'Market Data - EQ'!F550)))</f>
        <v>5.1654037330040436E-3</v>
      </c>
      <c r="L549" s="8">
        <f t="shared" si="8"/>
        <v>2.4736098466252325E-3</v>
      </c>
    </row>
    <row r="550" spans="1:12" x14ac:dyDescent="0.25">
      <c r="A550" s="5">
        <v>43014</v>
      </c>
      <c r="B550" s="4">
        <v>900.04998799999998</v>
      </c>
      <c r="C550" s="4">
        <v>256.75</v>
      </c>
      <c r="D550" s="4">
        <v>271.95001200000002</v>
      </c>
      <c r="E550" s="4">
        <v>1682.5</v>
      </c>
      <c r="F550" s="4">
        <v>503.35000600000001</v>
      </c>
      <c r="G550" s="3">
        <f>IF('Value at Risk'!$C$5=0,'Market Data - EQ'!B550-'Market Data - EQ'!B551,IF('Value at Risk'!$C$6=0,('Market Data - EQ'!B550-'Market Data - EQ'!B551)/'Market Data - EQ'!B551,LN('Market Data - EQ'!B550/'Market Data - EQ'!B551)))</f>
        <v>8.3398199711751803E-4</v>
      </c>
      <c r="H550" s="3">
        <f>IF('Value at Risk'!$C$5=0,'Market Data - EQ'!C550-'Market Data - EQ'!C551,IF('Value at Risk'!$C$6=0,('Market Data - EQ'!C550-'Market Data - EQ'!C551)/'Market Data - EQ'!C551,LN('Market Data - EQ'!C550/'Market Data - EQ'!C551)))</f>
        <v>2.0468974074666725E-2</v>
      </c>
      <c r="I550" s="3">
        <f>IF('Value at Risk'!$C$5=0,'Market Data - EQ'!D550-'Market Data - EQ'!D551,IF('Value at Risk'!$C$6=0,('Market Data - EQ'!D550-'Market Data - EQ'!D551)/'Market Data - EQ'!D551,LN('Market Data - EQ'!D550/'Market Data - EQ'!D551)))</f>
        <v>5.5196470428111406E-4</v>
      </c>
      <c r="J550" s="3">
        <f>IF('Value at Risk'!$C$5=0,'Market Data - EQ'!E550-'Market Data - EQ'!E551,IF('Value at Risk'!$C$6=0,('Market Data - EQ'!E550-'Market Data - EQ'!E551)/'Market Data - EQ'!E551,LN('Market Data - EQ'!E550/'Market Data - EQ'!E551)))</f>
        <v>-3.7304884043143135E-3</v>
      </c>
      <c r="K550" s="3">
        <f>IF('Value at Risk'!$C$5=0,'Market Data - EQ'!F550-'Market Data - EQ'!F551,IF('Value at Risk'!$C$6=0,('Market Data - EQ'!F550-'Market Data - EQ'!F551)/'Market Data - EQ'!F551,LN('Market Data - EQ'!F550/'Market Data - EQ'!F551)))</f>
        <v>4.2896926347240237E-3</v>
      </c>
      <c r="L550" s="8">
        <f t="shared" si="8"/>
        <v>4.4828250012950138E-3</v>
      </c>
    </row>
    <row r="551" spans="1:12" x14ac:dyDescent="0.25">
      <c r="A551" s="5">
        <v>43013</v>
      </c>
      <c r="B551" s="4">
        <v>899.29998799999998</v>
      </c>
      <c r="C551" s="4">
        <v>251.60000600000001</v>
      </c>
      <c r="D551" s="4">
        <v>271.79998799999998</v>
      </c>
      <c r="E551" s="4">
        <v>1688.8000489999999</v>
      </c>
      <c r="F551" s="4">
        <v>501.20001200000002</v>
      </c>
      <c r="G551" s="3">
        <f>IF('Value at Risk'!$C$5=0,'Market Data - EQ'!B551-'Market Data - EQ'!B552,IF('Value at Risk'!$C$6=0,('Market Data - EQ'!B551-'Market Data - EQ'!B552)/'Market Data - EQ'!B552,LN('Market Data - EQ'!B551/'Market Data - EQ'!B552)))</f>
        <v>8.9035948803559801E-4</v>
      </c>
      <c r="H551" s="3">
        <f>IF('Value at Risk'!$C$5=0,'Market Data - EQ'!C551-'Market Data - EQ'!C552,IF('Value at Risk'!$C$6=0,('Market Data - EQ'!C551-'Market Data - EQ'!C552)/'Market Data - EQ'!C552,LN('Market Data - EQ'!C551/'Market Data - EQ'!C552)))</f>
        <v>-6.3190798537015331E-3</v>
      </c>
      <c r="I551" s="3">
        <f>IF('Value at Risk'!$C$5=0,'Market Data - EQ'!D551-'Market Data - EQ'!D552,IF('Value at Risk'!$C$6=0,('Market Data - EQ'!D551-'Market Data - EQ'!D552)/'Market Data - EQ'!D552,LN('Market Data - EQ'!D551/'Market Data - EQ'!D552)))</f>
        <v>-1.5574132222221041E-2</v>
      </c>
      <c r="J551" s="3">
        <f>IF('Value at Risk'!$C$5=0,'Market Data - EQ'!E551-'Market Data - EQ'!E552,IF('Value at Risk'!$C$6=0,('Market Data - EQ'!E551-'Market Data - EQ'!E552)/'Market Data - EQ'!E552,LN('Market Data - EQ'!E551/'Market Data - EQ'!E552)))</f>
        <v>-5.2423291847053313E-3</v>
      </c>
      <c r="K551" s="3">
        <f>IF('Value at Risk'!$C$5=0,'Market Data - EQ'!F551-'Market Data - EQ'!F552,IF('Value at Risk'!$C$6=0,('Market Data - EQ'!F551-'Market Data - EQ'!F552)/'Market Data - EQ'!F552,LN('Market Data - EQ'!F551/'Market Data - EQ'!F552)))</f>
        <v>-9.3882792515874083E-3</v>
      </c>
      <c r="L551" s="8">
        <f t="shared" si="8"/>
        <v>-7.1266922048359438E-3</v>
      </c>
    </row>
    <row r="552" spans="1:12" x14ac:dyDescent="0.25">
      <c r="A552" s="5">
        <v>43012</v>
      </c>
      <c r="B552" s="4">
        <v>898.5</v>
      </c>
      <c r="C552" s="4">
        <v>253.199997</v>
      </c>
      <c r="D552" s="4">
        <v>276.10000600000001</v>
      </c>
      <c r="E552" s="4">
        <v>1697.6999510000001</v>
      </c>
      <c r="F552" s="4">
        <v>505.95001200000002</v>
      </c>
      <c r="G552" s="3">
        <f>IF('Value at Risk'!$C$5=0,'Market Data - EQ'!B552-'Market Data - EQ'!B553,IF('Value at Risk'!$C$6=0,('Market Data - EQ'!B552-'Market Data - EQ'!B553)/'Market Data - EQ'!B553,LN('Market Data - EQ'!B552/'Market Data - EQ'!B553)))</f>
        <v>-6.5511104609152892E-3</v>
      </c>
      <c r="H552" s="3">
        <f>IF('Value at Risk'!$C$5=0,'Market Data - EQ'!C552-'Market Data - EQ'!C553,IF('Value at Risk'!$C$6=0,('Market Data - EQ'!C552-'Market Data - EQ'!C553)/'Market Data - EQ'!C553,LN('Market Data - EQ'!C552/'Market Data - EQ'!C553)))</f>
        <v>7.5606604748030678E-3</v>
      </c>
      <c r="I552" s="3">
        <f>IF('Value at Risk'!$C$5=0,'Market Data - EQ'!D552-'Market Data - EQ'!D553,IF('Value at Risk'!$C$6=0,('Market Data - EQ'!D552-'Market Data - EQ'!D553)/'Market Data - EQ'!D553,LN('Market Data - EQ'!D552/'Market Data - EQ'!D553)))</f>
        <v>-8.2614513274737525E-3</v>
      </c>
      <c r="J552" s="3">
        <f>IF('Value at Risk'!$C$5=0,'Market Data - EQ'!E552-'Market Data - EQ'!E553,IF('Value at Risk'!$C$6=0,('Market Data - EQ'!E552-'Market Data - EQ'!E553)/'Market Data - EQ'!E553,LN('Market Data - EQ'!E552/'Market Data - EQ'!E553)))</f>
        <v>2.8057533521261197E-3</v>
      </c>
      <c r="K552" s="3">
        <f>IF('Value at Risk'!$C$5=0,'Market Data - EQ'!F552-'Market Data - EQ'!F553,IF('Value at Risk'!$C$6=0,('Market Data - EQ'!F552-'Market Data - EQ'!F553)/'Market Data - EQ'!F553,LN('Market Data - EQ'!F552/'Market Data - EQ'!F553)))</f>
        <v>-7.2598490013912904E-3</v>
      </c>
      <c r="L552" s="8">
        <f t="shared" si="8"/>
        <v>-2.3411993925702289E-3</v>
      </c>
    </row>
    <row r="553" spans="1:12" x14ac:dyDescent="0.25">
      <c r="A553" s="5">
        <v>43011</v>
      </c>
      <c r="B553" s="4">
        <v>904.42498799999998</v>
      </c>
      <c r="C553" s="4">
        <v>251.300003</v>
      </c>
      <c r="D553" s="4">
        <v>278.39999399999999</v>
      </c>
      <c r="E553" s="4">
        <v>1692.9499510000001</v>
      </c>
      <c r="F553" s="4">
        <v>509.64999399999999</v>
      </c>
      <c r="G553" s="3">
        <f>IF('Value at Risk'!$C$5=0,'Market Data - EQ'!B553-'Market Data - EQ'!B554,IF('Value at Risk'!$C$6=0,('Market Data - EQ'!B553-'Market Data - EQ'!B554)/'Market Data - EQ'!B554,LN('Market Data - EQ'!B553/'Market Data - EQ'!B554)))</f>
        <v>1.744489164166534E-3</v>
      </c>
      <c r="H553" s="3">
        <f>IF('Value at Risk'!$C$5=0,'Market Data - EQ'!C553-'Market Data - EQ'!C554,IF('Value at Risk'!$C$6=0,('Market Data - EQ'!C553-'Market Data - EQ'!C554)/'Market Data - EQ'!C554,LN('Market Data - EQ'!C553/'Market Data - EQ'!C554)))</f>
        <v>-1.0045313924475557E-2</v>
      </c>
      <c r="I553" s="3">
        <f>IF('Value at Risk'!$C$5=0,'Market Data - EQ'!D553-'Market Data - EQ'!D554,IF('Value at Risk'!$C$6=0,('Market Data - EQ'!D553-'Market Data - EQ'!D554)/'Market Data - EQ'!D554,LN('Market Data - EQ'!D553/'Market Data - EQ'!D554)))</f>
        <v>6.5075486657798004E-3</v>
      </c>
      <c r="J553" s="3">
        <f>IF('Value at Risk'!$C$5=0,'Market Data - EQ'!E553-'Market Data - EQ'!E554,IF('Value at Risk'!$C$6=0,('Market Data - EQ'!E553-'Market Data - EQ'!E554)/'Market Data - EQ'!E554,LN('Market Data - EQ'!E553/'Market Data - EQ'!E554)))</f>
        <v>6.3904412751941636E-3</v>
      </c>
      <c r="K553" s="3">
        <f>IF('Value at Risk'!$C$5=0,'Market Data - EQ'!F553-'Market Data - EQ'!F554,IF('Value at Risk'!$C$6=0,('Market Data - EQ'!F553-'Market Data - EQ'!F554)/'Market Data - EQ'!F554,LN('Market Data - EQ'!F553/'Market Data - EQ'!F554)))</f>
        <v>9.8202888322139513E-4</v>
      </c>
      <c r="L553" s="8">
        <f t="shared" si="8"/>
        <v>1.1158388127772672E-3</v>
      </c>
    </row>
    <row r="554" spans="1:12" x14ac:dyDescent="0.25">
      <c r="A554" s="5">
        <v>43007</v>
      </c>
      <c r="B554" s="4">
        <v>902.84997599999997</v>
      </c>
      <c r="C554" s="4">
        <v>253.85000600000001</v>
      </c>
      <c r="D554" s="4">
        <v>276.60000600000001</v>
      </c>
      <c r="E554" s="4">
        <v>1682.1999510000001</v>
      </c>
      <c r="F554" s="4">
        <v>509.14999399999999</v>
      </c>
      <c r="G554" s="3">
        <f>IF('Value at Risk'!$C$5=0,'Market Data - EQ'!B554-'Market Data - EQ'!B555,IF('Value at Risk'!$C$6=0,('Market Data - EQ'!B554-'Market Data - EQ'!B555)/'Market Data - EQ'!B555,LN('Market Data - EQ'!B554/'Market Data - EQ'!B555)))</f>
        <v>5.7928500651384584E-3</v>
      </c>
      <c r="H554" s="3">
        <f>IF('Value at Risk'!$C$5=0,'Market Data - EQ'!C554-'Market Data - EQ'!C555,IF('Value at Risk'!$C$6=0,('Market Data - EQ'!C554-'Market Data - EQ'!C555)/'Market Data - EQ'!C555,LN('Market Data - EQ'!C554/'Market Data - EQ'!C555)))</f>
        <v>5.1475073631260413E-3</v>
      </c>
      <c r="I554" s="3">
        <f>IF('Value at Risk'!$C$5=0,'Market Data - EQ'!D554-'Market Data - EQ'!D555,IF('Value at Risk'!$C$6=0,('Market Data - EQ'!D554-'Market Data - EQ'!D555)/'Market Data - EQ'!D555,LN('Market Data - EQ'!D554/'Market Data - EQ'!D555)))</f>
        <v>2.355477339134859E-3</v>
      </c>
      <c r="J554" s="3">
        <f>IF('Value at Risk'!$C$5=0,'Market Data - EQ'!E554-'Market Data - EQ'!E555,IF('Value at Risk'!$C$6=0,('Market Data - EQ'!E554-'Market Data - EQ'!E555)/'Market Data - EQ'!E555,LN('Market Data - EQ'!E554/'Market Data - EQ'!E555)))</f>
        <v>8.6268094600628026E-4</v>
      </c>
      <c r="K554" s="3">
        <f>IF('Value at Risk'!$C$5=0,'Market Data - EQ'!F554-'Market Data - EQ'!F555,IF('Value at Risk'!$C$6=0,('Market Data - EQ'!F554-'Market Data - EQ'!F555)/'Market Data - EQ'!F555,LN('Market Data - EQ'!F554/'Market Data - EQ'!F555)))</f>
        <v>-5.1777922276934332E-3</v>
      </c>
      <c r="L554" s="8">
        <f t="shared" si="8"/>
        <v>1.7961446971424412E-3</v>
      </c>
    </row>
    <row r="555" spans="1:12" x14ac:dyDescent="0.25">
      <c r="A555" s="5">
        <v>43006</v>
      </c>
      <c r="B555" s="4">
        <v>897.65002400000003</v>
      </c>
      <c r="C555" s="4">
        <v>252.550003</v>
      </c>
      <c r="D555" s="4">
        <v>275.95001200000002</v>
      </c>
      <c r="E555" s="4">
        <v>1680.75</v>
      </c>
      <c r="F555" s="4">
        <v>511.79998799999998</v>
      </c>
      <c r="G555" s="3">
        <f>IF('Value at Risk'!$C$5=0,'Market Data - EQ'!B555-'Market Data - EQ'!B556,IF('Value at Risk'!$C$6=0,('Market Data - EQ'!B555-'Market Data - EQ'!B556)/'Market Data - EQ'!B556,LN('Market Data - EQ'!B555/'Market Data - EQ'!B556)))</f>
        <v>1.0582633267661165E-2</v>
      </c>
      <c r="H555" s="3">
        <f>IF('Value at Risk'!$C$5=0,'Market Data - EQ'!C555-'Market Data - EQ'!C556,IF('Value at Risk'!$C$6=0,('Market Data - EQ'!C555-'Market Data - EQ'!C556)/'Market Data - EQ'!C556,LN('Market Data - EQ'!C555/'Market Data - EQ'!C556)))</f>
        <v>8.5862981290646973E-3</v>
      </c>
      <c r="I555" s="3">
        <f>IF('Value at Risk'!$C$5=0,'Market Data - EQ'!D555-'Market Data - EQ'!D556,IF('Value at Risk'!$C$6=0,('Market Data - EQ'!D555-'Market Data - EQ'!D556)/'Market Data - EQ'!D556,LN('Market Data - EQ'!D555/'Market Data - EQ'!D556)))</f>
        <v>-1.6280101655862455E-3</v>
      </c>
      <c r="J555" s="3">
        <f>IF('Value at Risk'!$C$5=0,'Market Data - EQ'!E555-'Market Data - EQ'!E556,IF('Value at Risk'!$C$6=0,('Market Data - EQ'!E555-'Market Data - EQ'!E556)/'Market Data - EQ'!E556,LN('Market Data - EQ'!E555/'Market Data - EQ'!E556)))</f>
        <v>7.6741205527934599E-3</v>
      </c>
      <c r="K555" s="3">
        <f>IF('Value at Risk'!$C$5=0,'Market Data - EQ'!F555-'Market Data - EQ'!F556,IF('Value at Risk'!$C$6=0,('Market Data - EQ'!F555-'Market Data - EQ'!F556)/'Market Data - EQ'!F556,LN('Market Data - EQ'!F555/'Market Data - EQ'!F556)))</f>
        <v>1.086312488713707E-2</v>
      </c>
      <c r="L555" s="8">
        <f t="shared" si="8"/>
        <v>7.2156333342140288E-3</v>
      </c>
    </row>
    <row r="556" spans="1:12" x14ac:dyDescent="0.25">
      <c r="A556" s="5">
        <v>43005</v>
      </c>
      <c r="B556" s="4">
        <v>888.25</v>
      </c>
      <c r="C556" s="4">
        <v>250.39999399999999</v>
      </c>
      <c r="D556" s="4">
        <v>276.39999399999999</v>
      </c>
      <c r="E556" s="4">
        <v>1667.9499510000001</v>
      </c>
      <c r="F556" s="4">
        <v>506.29998799999998</v>
      </c>
      <c r="G556" s="3">
        <f>IF('Value at Risk'!$C$5=0,'Market Data - EQ'!B556-'Market Data - EQ'!B557,IF('Value at Risk'!$C$6=0,('Market Data - EQ'!B556-'Market Data - EQ'!B557)/'Market Data - EQ'!B557,LN('Market Data - EQ'!B556/'Market Data - EQ'!B557)))</f>
        <v>-8.8155150236318355E-3</v>
      </c>
      <c r="H556" s="3">
        <f>IF('Value at Risk'!$C$5=0,'Market Data - EQ'!C556-'Market Data - EQ'!C557,IF('Value at Risk'!$C$6=0,('Market Data - EQ'!C556-'Market Data - EQ'!C557)/'Market Data - EQ'!C557,LN('Market Data - EQ'!C556/'Market Data - EQ'!C557)))</f>
        <v>-3.039692545982578E-2</v>
      </c>
      <c r="I556" s="3">
        <f>IF('Value at Risk'!$C$5=0,'Market Data - EQ'!D556-'Market Data - EQ'!D557,IF('Value at Risk'!$C$6=0,('Market Data - EQ'!D556-'Market Data - EQ'!D557)/'Market Data - EQ'!D557,LN('Market Data - EQ'!D556/'Market Data - EQ'!D557)))</f>
        <v>-2.2458022988505775E-2</v>
      </c>
      <c r="J556" s="3">
        <f>IF('Value at Risk'!$C$5=0,'Market Data - EQ'!E556-'Market Data - EQ'!E557,IF('Value at Risk'!$C$6=0,('Market Data - EQ'!E556-'Market Data - EQ'!E557)/'Market Data - EQ'!E557,LN('Market Data - EQ'!E556/'Market Data - EQ'!E557)))</f>
        <v>-1.5028978764204845E-2</v>
      </c>
      <c r="K556" s="3">
        <f>IF('Value at Risk'!$C$5=0,'Market Data - EQ'!F556-'Market Data - EQ'!F557,IF('Value at Risk'!$C$6=0,('Market Data - EQ'!F556-'Market Data - EQ'!F557)/'Market Data - EQ'!F557,LN('Market Data - EQ'!F556/'Market Data - EQ'!F557)))</f>
        <v>-1.1036280628117321E-2</v>
      </c>
      <c r="L556" s="8">
        <f t="shared" si="8"/>
        <v>-1.7547144572857113E-2</v>
      </c>
    </row>
    <row r="557" spans="1:12" x14ac:dyDescent="0.25">
      <c r="A557" s="5">
        <v>43004</v>
      </c>
      <c r="B557" s="4">
        <v>896.15002400000003</v>
      </c>
      <c r="C557" s="4">
        <v>258.25</v>
      </c>
      <c r="D557" s="4">
        <v>282.75</v>
      </c>
      <c r="E557" s="4">
        <v>1693.400024</v>
      </c>
      <c r="F557" s="4">
        <v>511.95001200000002</v>
      </c>
      <c r="G557" s="3">
        <f>IF('Value at Risk'!$C$5=0,'Market Data - EQ'!B557-'Market Data - EQ'!B558,IF('Value at Risk'!$C$6=0,('Market Data - EQ'!B557-'Market Data - EQ'!B558)/'Market Data - EQ'!B558,LN('Market Data - EQ'!B557/'Market Data - EQ'!B558)))</f>
        <v>-4.1394371440477504E-3</v>
      </c>
      <c r="H557" s="3">
        <f>IF('Value at Risk'!$C$5=0,'Market Data - EQ'!C557-'Market Data - EQ'!C558,IF('Value at Risk'!$C$6=0,('Market Data - EQ'!C557-'Market Data - EQ'!C558)/'Market Data - EQ'!C558,LN('Market Data - EQ'!C557/'Market Data - EQ'!C558)))</f>
        <v>-1.9323671497584541E-3</v>
      </c>
      <c r="I557" s="3">
        <f>IF('Value at Risk'!$C$5=0,'Market Data - EQ'!D557-'Market Data - EQ'!D558,IF('Value at Risk'!$C$6=0,('Market Data - EQ'!D557-'Market Data - EQ'!D558)/'Market Data - EQ'!D558,LN('Market Data - EQ'!D557/'Market Data - EQ'!D558)))</f>
        <v>1.1627906976744186E-2</v>
      </c>
      <c r="J557" s="3">
        <f>IF('Value at Risk'!$C$5=0,'Market Data - EQ'!E557-'Market Data - EQ'!E558,IF('Value at Risk'!$C$6=0,('Market Data - EQ'!E557-'Market Data - EQ'!E558)/'Market Data - EQ'!E558,LN('Market Data - EQ'!E557/'Market Data - EQ'!E558)))</f>
        <v>-4.8774327078769629E-3</v>
      </c>
      <c r="K557" s="3">
        <f>IF('Value at Risk'!$C$5=0,'Market Data - EQ'!F557-'Market Data - EQ'!F558,IF('Value at Risk'!$C$6=0,('Market Data - EQ'!F557-'Market Data - EQ'!F558)/'Market Data - EQ'!F558,LN('Market Data - EQ'!F557/'Market Data - EQ'!F558)))</f>
        <v>2.0430535688326833E-2</v>
      </c>
      <c r="L557" s="8">
        <f t="shared" si="8"/>
        <v>4.2218411326775699E-3</v>
      </c>
    </row>
    <row r="558" spans="1:12" x14ac:dyDescent="0.25">
      <c r="A558" s="5">
        <v>43003</v>
      </c>
      <c r="B558" s="4">
        <v>899.875</v>
      </c>
      <c r="C558" s="4">
        <v>258.75</v>
      </c>
      <c r="D558" s="4">
        <v>279.5</v>
      </c>
      <c r="E558" s="4">
        <v>1701.6999510000001</v>
      </c>
      <c r="F558" s="4">
        <v>501.70001200000002</v>
      </c>
      <c r="G558" s="3">
        <f>IF('Value at Risk'!$C$5=0,'Market Data - EQ'!B558-'Market Data - EQ'!B559,IF('Value at Risk'!$C$6=0,('Market Data - EQ'!B558-'Market Data - EQ'!B559)/'Market Data - EQ'!B559,LN('Market Data - EQ'!B558/'Market Data - EQ'!B559)))</f>
        <v>-1.3349035864468412E-2</v>
      </c>
      <c r="H558" s="3">
        <f>IF('Value at Risk'!$C$5=0,'Market Data - EQ'!C558-'Market Data - EQ'!C559,IF('Value at Risk'!$C$6=0,('Market Data - EQ'!C558-'Market Data - EQ'!C559)/'Market Data - EQ'!C559,LN('Market Data - EQ'!C558/'Market Data - EQ'!C559)))</f>
        <v>-1.1838861672586739E-2</v>
      </c>
      <c r="I558" s="3">
        <f>IF('Value at Risk'!$C$5=0,'Market Data - EQ'!D558-'Market Data - EQ'!D559,IF('Value at Risk'!$C$6=0,('Market Data - EQ'!D558-'Market Data - EQ'!D559)/'Market Data - EQ'!D559,LN('Market Data - EQ'!D558/'Market Data - EQ'!D559)))</f>
        <v>8.6611113245518741E-3</v>
      </c>
      <c r="J558" s="3">
        <f>IF('Value at Risk'!$C$5=0,'Market Data - EQ'!E558-'Market Data - EQ'!E559,IF('Value at Risk'!$C$6=0,('Market Data - EQ'!E558-'Market Data - EQ'!E559)/'Market Data - EQ'!E559,LN('Market Data - EQ'!E558/'Market Data - EQ'!E559)))</f>
        <v>-3.4551564083647622E-3</v>
      </c>
      <c r="K558" s="3">
        <f>IF('Value at Risk'!$C$5=0,'Market Data - EQ'!F558-'Market Data - EQ'!F559,IF('Value at Risk'!$C$6=0,('Market Data - EQ'!F558-'Market Data - EQ'!F559)/'Market Data - EQ'!F559,LN('Market Data - EQ'!F558/'Market Data - EQ'!F559)))</f>
        <v>-7.124433179285905E-3</v>
      </c>
      <c r="L558" s="8">
        <f t="shared" si="8"/>
        <v>-5.4212751600307887E-3</v>
      </c>
    </row>
    <row r="559" spans="1:12" x14ac:dyDescent="0.25">
      <c r="A559" s="5">
        <v>43000</v>
      </c>
      <c r="B559" s="4">
        <v>912.04998799999998</v>
      </c>
      <c r="C559" s="4">
        <v>261.85000600000001</v>
      </c>
      <c r="D559" s="4">
        <v>277.10000600000001</v>
      </c>
      <c r="E559" s="4">
        <v>1707.599976</v>
      </c>
      <c r="F559" s="4">
        <v>505.29998799999998</v>
      </c>
      <c r="G559" s="3">
        <f>IF('Value at Risk'!$C$5=0,'Market Data - EQ'!B559-'Market Data - EQ'!B560,IF('Value at Risk'!$C$6=0,('Market Data - EQ'!B559-'Market Data - EQ'!B560)/'Market Data - EQ'!B560,LN('Market Data - EQ'!B559/'Market Data - EQ'!B560)))</f>
        <v>-8.1561634472013065E-3</v>
      </c>
      <c r="H559" s="3">
        <f>IF('Value at Risk'!$C$5=0,'Market Data - EQ'!C559-'Market Data - EQ'!C560,IF('Value at Risk'!$C$6=0,('Market Data - EQ'!C559-'Market Data - EQ'!C560)/'Market Data - EQ'!C560,LN('Market Data - EQ'!C559/'Market Data - EQ'!C560)))</f>
        <v>-2.47672029795158E-2</v>
      </c>
      <c r="I559" s="3">
        <f>IF('Value at Risk'!$C$5=0,'Market Data - EQ'!D559-'Market Data - EQ'!D560,IF('Value at Risk'!$C$6=0,('Market Data - EQ'!D559-'Market Data - EQ'!D560)/'Market Data - EQ'!D560,LN('Market Data - EQ'!D559/'Market Data - EQ'!D560)))</f>
        <v>-2.7548712649290947E-2</v>
      </c>
      <c r="J559" s="3">
        <f>IF('Value at Risk'!$C$5=0,'Market Data - EQ'!E559-'Market Data - EQ'!E560,IF('Value at Risk'!$C$6=0,('Market Data - EQ'!E559-'Market Data - EQ'!E560)/'Market Data - EQ'!E560,LN('Market Data - EQ'!E559/'Market Data - EQ'!E560)))</f>
        <v>-1.303357956662379E-2</v>
      </c>
      <c r="K559" s="3">
        <f>IF('Value at Risk'!$C$5=0,'Market Data - EQ'!F559-'Market Data - EQ'!F560,IF('Value at Risk'!$C$6=0,('Market Data - EQ'!F559-'Market Data - EQ'!F560)/'Market Data - EQ'!F560,LN('Market Data - EQ'!F559/'Market Data - EQ'!F560)))</f>
        <v>-1.4144961798340731E-2</v>
      </c>
      <c r="L559" s="8">
        <f t="shared" si="8"/>
        <v>-1.7530124088194515E-2</v>
      </c>
    </row>
    <row r="560" spans="1:12" x14ac:dyDescent="0.25">
      <c r="A560" s="5">
        <v>42999</v>
      </c>
      <c r="B560" s="4">
        <v>919.54998799999998</v>
      </c>
      <c r="C560" s="4">
        <v>268.5</v>
      </c>
      <c r="D560" s="4">
        <v>284.95001200000002</v>
      </c>
      <c r="E560" s="4">
        <v>1730.150024</v>
      </c>
      <c r="F560" s="4">
        <v>512.54998799999998</v>
      </c>
      <c r="G560" s="3">
        <f>IF('Value at Risk'!$C$5=0,'Market Data - EQ'!B560-'Market Data - EQ'!B561,IF('Value at Risk'!$C$6=0,('Market Data - EQ'!B560-'Market Data - EQ'!B561)/'Market Data - EQ'!B561,LN('Market Data - EQ'!B560/'Market Data - EQ'!B561)))</f>
        <v>-5.2735484904482049E-3</v>
      </c>
      <c r="H560" s="3">
        <f>IF('Value at Risk'!$C$5=0,'Market Data - EQ'!C560-'Market Data - EQ'!C561,IF('Value at Risk'!$C$6=0,('Market Data - EQ'!C560-'Market Data - EQ'!C561)/'Market Data - EQ'!C561,LN('Market Data - EQ'!C560/'Market Data - EQ'!C561)))</f>
        <v>-5.7396336562695379E-3</v>
      </c>
      <c r="I560" s="3">
        <f>IF('Value at Risk'!$C$5=0,'Market Data - EQ'!D560-'Market Data - EQ'!D561,IF('Value at Risk'!$C$6=0,('Market Data - EQ'!D560-'Market Data - EQ'!D561)/'Market Data - EQ'!D561,LN('Market Data - EQ'!D560/'Market Data - EQ'!D561)))</f>
        <v>-1.927370927993282E-2</v>
      </c>
      <c r="J560" s="3">
        <f>IF('Value at Risk'!$C$5=0,'Market Data - EQ'!E560-'Market Data - EQ'!E561,IF('Value at Risk'!$C$6=0,('Market Data - EQ'!E560-'Market Data - EQ'!E561)/'Market Data - EQ'!E561,LN('Market Data - EQ'!E560/'Market Data - EQ'!E561)))</f>
        <v>2.1721501088208975E-3</v>
      </c>
      <c r="K560" s="3">
        <f>IF('Value at Risk'!$C$5=0,'Market Data - EQ'!F560-'Market Data - EQ'!F561,IF('Value at Risk'!$C$6=0,('Market Data - EQ'!F560-'Market Data - EQ'!F561)/'Market Data - EQ'!F561,LN('Market Data - EQ'!F560/'Market Data - EQ'!F561)))</f>
        <v>-1.3283326288574674E-2</v>
      </c>
      <c r="L560" s="8">
        <f t="shared" si="8"/>
        <v>-8.2796135212808673E-3</v>
      </c>
    </row>
    <row r="561" spans="1:12" x14ac:dyDescent="0.25">
      <c r="A561" s="5">
        <v>42998</v>
      </c>
      <c r="B561" s="4">
        <v>924.42498799999998</v>
      </c>
      <c r="C561" s="4">
        <v>270.04998799999998</v>
      </c>
      <c r="D561" s="4">
        <v>290.54998799999998</v>
      </c>
      <c r="E561" s="4">
        <v>1726.400024</v>
      </c>
      <c r="F561" s="4">
        <v>519.45001200000002</v>
      </c>
      <c r="G561" s="3">
        <f>IF('Value at Risk'!$C$5=0,'Market Data - EQ'!B561-'Market Data - EQ'!B562,IF('Value at Risk'!$C$6=0,('Market Data - EQ'!B561-'Market Data - EQ'!B562)/'Market Data - EQ'!B562,LN('Market Data - EQ'!B561/'Market Data - EQ'!B562)))</f>
        <v>-4.5952101533058246E-4</v>
      </c>
      <c r="H561" s="3">
        <f>IF('Value at Risk'!$C$5=0,'Market Data - EQ'!C561-'Market Data - EQ'!C562,IF('Value at Risk'!$C$6=0,('Market Data - EQ'!C561-'Market Data - EQ'!C562)/'Market Data - EQ'!C562,LN('Market Data - EQ'!C561/'Market Data - EQ'!C562)))</f>
        <v>8.4017927588555391E-3</v>
      </c>
      <c r="I561" s="3">
        <f>IF('Value at Risk'!$C$5=0,'Market Data - EQ'!D561-'Market Data - EQ'!D562,IF('Value at Risk'!$C$6=0,('Market Data - EQ'!D561-'Market Data - EQ'!D562)/'Market Data - EQ'!D562,LN('Market Data - EQ'!D561/'Market Data - EQ'!D562)))</f>
        <v>-1.391483483281526E-2</v>
      </c>
      <c r="J561" s="3">
        <f>IF('Value at Risk'!$C$5=0,'Market Data - EQ'!E561-'Market Data - EQ'!E562,IF('Value at Risk'!$C$6=0,('Market Data - EQ'!E561-'Market Data - EQ'!E562)/'Market Data - EQ'!E562,LN('Market Data - EQ'!E561/'Market Data - EQ'!E562)))</f>
        <v>-1.1480390255970195E-2</v>
      </c>
      <c r="K561" s="3">
        <f>IF('Value at Risk'!$C$5=0,'Market Data - EQ'!F561-'Market Data - EQ'!F562,IF('Value at Risk'!$C$6=0,('Market Data - EQ'!F561-'Market Data - EQ'!F562)/'Market Data - EQ'!F562,LN('Market Data - EQ'!F561/'Market Data - EQ'!F562)))</f>
        <v>-2.496376380220806E-3</v>
      </c>
      <c r="L561" s="8">
        <f t="shared" si="8"/>
        <v>-3.9898659450962621E-3</v>
      </c>
    </row>
    <row r="562" spans="1:12" x14ac:dyDescent="0.25">
      <c r="A562" s="5">
        <v>42997</v>
      </c>
      <c r="B562" s="4">
        <v>924.84997599999997</v>
      </c>
      <c r="C562" s="4">
        <v>267.79998799999998</v>
      </c>
      <c r="D562" s="4">
        <v>294.64999399999999</v>
      </c>
      <c r="E562" s="4">
        <v>1746.4499510000001</v>
      </c>
      <c r="F562" s="4">
        <v>520.75</v>
      </c>
      <c r="G562" s="3">
        <f>IF('Value at Risk'!$C$5=0,'Market Data - EQ'!B562-'Market Data - EQ'!B563,IF('Value at Risk'!$C$6=0,('Market Data - EQ'!B562-'Market Data - EQ'!B563)/'Market Data - EQ'!B563,LN('Market Data - EQ'!B562/'Market Data - EQ'!B563)))</f>
        <v>-5.778172096725126E-3</v>
      </c>
      <c r="H562" s="3">
        <f>IF('Value at Risk'!$C$5=0,'Market Data - EQ'!C562-'Market Data - EQ'!C563,IF('Value at Risk'!$C$6=0,('Market Data - EQ'!C562-'Market Data - EQ'!C563)/'Market Data - EQ'!C563,LN('Market Data - EQ'!C562/'Market Data - EQ'!C563)))</f>
        <v>-9.6154070180933787E-3</v>
      </c>
      <c r="I562" s="3">
        <f>IF('Value at Risk'!$C$5=0,'Market Data - EQ'!D562-'Market Data - EQ'!D563,IF('Value at Risk'!$C$6=0,('Market Data - EQ'!D562-'Market Data - EQ'!D563)/'Market Data - EQ'!D563,LN('Market Data - EQ'!D562/'Market Data - EQ'!D563)))</f>
        <v>5.6313788395904174E-3</v>
      </c>
      <c r="J562" s="3">
        <f>IF('Value at Risk'!$C$5=0,'Market Data - EQ'!E562-'Market Data - EQ'!E563,IF('Value at Risk'!$C$6=0,('Market Data - EQ'!E562-'Market Data - EQ'!E563)/'Market Data - EQ'!E563,LN('Market Data - EQ'!E562/'Market Data - EQ'!E563)))</f>
        <v>4.8692427342247278E-4</v>
      </c>
      <c r="K562" s="3">
        <f>IF('Value at Risk'!$C$5=0,'Market Data - EQ'!F562-'Market Data - EQ'!F563,IF('Value at Risk'!$C$6=0,('Market Data - EQ'!F562-'Market Data - EQ'!F563)/'Market Data - EQ'!F563,LN('Market Data - EQ'!F562/'Market Data - EQ'!F563)))</f>
        <v>-7.2442819310482662E-3</v>
      </c>
      <c r="L562" s="8">
        <f t="shared" si="8"/>
        <v>-3.3039115865707764E-3</v>
      </c>
    </row>
    <row r="563" spans="1:12" x14ac:dyDescent="0.25">
      <c r="A563" s="5">
        <v>42996</v>
      </c>
      <c r="B563" s="4">
        <v>930.22497599999997</v>
      </c>
      <c r="C563" s="4">
        <v>270.39999399999999</v>
      </c>
      <c r="D563" s="4">
        <v>293</v>
      </c>
      <c r="E563" s="4">
        <v>1745.599976</v>
      </c>
      <c r="F563" s="4">
        <v>524.54998799999998</v>
      </c>
      <c r="G563" s="3">
        <f>IF('Value at Risk'!$C$5=0,'Market Data - EQ'!B563-'Market Data - EQ'!B564,IF('Value at Risk'!$C$6=0,('Market Data - EQ'!B563-'Market Data - EQ'!B564)/'Market Data - EQ'!B564,LN('Market Data - EQ'!B563/'Market Data - EQ'!B564)))</f>
        <v>6.2197465039875782E-3</v>
      </c>
      <c r="H563" s="3">
        <f>IF('Value at Risk'!$C$5=0,'Market Data - EQ'!C563-'Market Data - EQ'!C564,IF('Value at Risk'!$C$6=0,('Market Data - EQ'!C563-'Market Data - EQ'!C564)/'Market Data - EQ'!C564,LN('Market Data - EQ'!C563/'Market Data - EQ'!C564)))</f>
        <v>-4.0515874769797705E-3</v>
      </c>
      <c r="I563" s="3">
        <f>IF('Value at Risk'!$C$5=0,'Market Data - EQ'!D563-'Market Data - EQ'!D564,IF('Value at Risk'!$C$6=0,('Market Data - EQ'!D563-'Market Data - EQ'!D564)/'Market Data - EQ'!D564,LN('Market Data - EQ'!D563/'Market Data - EQ'!D564)))</f>
        <v>4.8010767187706858E-3</v>
      </c>
      <c r="J563" s="3">
        <f>IF('Value at Risk'!$C$5=0,'Market Data - EQ'!E563-'Market Data - EQ'!E564,IF('Value at Risk'!$C$6=0,('Market Data - EQ'!E563-'Market Data - EQ'!E564)/'Market Data - EQ'!E564,LN('Market Data - EQ'!E563/'Market Data - EQ'!E564)))</f>
        <v>2.7216288965304931E-2</v>
      </c>
      <c r="K563" s="3">
        <f>IF('Value at Risk'!$C$5=0,'Market Data - EQ'!F563-'Market Data - EQ'!F564,IF('Value at Risk'!$C$6=0,('Market Data - EQ'!F563-'Market Data - EQ'!F564)/'Market Data - EQ'!F564,LN('Market Data - EQ'!F563/'Market Data - EQ'!F564)))</f>
        <v>1.6274268351094669E-2</v>
      </c>
      <c r="L563" s="8">
        <f t="shared" si="8"/>
        <v>1.0091958612435618E-2</v>
      </c>
    </row>
    <row r="564" spans="1:12" x14ac:dyDescent="0.25">
      <c r="A564" s="5">
        <v>42993</v>
      </c>
      <c r="B564" s="4">
        <v>924.47497599999997</v>
      </c>
      <c r="C564" s="4">
        <v>271.5</v>
      </c>
      <c r="D564" s="4">
        <v>291.60000600000001</v>
      </c>
      <c r="E564" s="4">
        <v>1699.349976</v>
      </c>
      <c r="F564" s="4">
        <v>516.15002400000003</v>
      </c>
      <c r="G564" s="3">
        <f>IF('Value at Risk'!$C$5=0,'Market Data - EQ'!B564-'Market Data - EQ'!B565,IF('Value at Risk'!$C$6=0,('Market Data - EQ'!B564-'Market Data - EQ'!B565)/'Market Data - EQ'!B565,LN('Market Data - EQ'!B564/'Market Data - EQ'!B565)))</f>
        <v>5.1918711946259653E-3</v>
      </c>
      <c r="H564" s="3">
        <f>IF('Value at Risk'!$C$5=0,'Market Data - EQ'!C564-'Market Data - EQ'!C565,IF('Value at Risk'!$C$6=0,('Market Data - EQ'!C564-'Market Data - EQ'!C565)/'Market Data - EQ'!C565,LN('Market Data - EQ'!C564/'Market Data - EQ'!C565)))</f>
        <v>-9.8468704662201655E-3</v>
      </c>
      <c r="I564" s="3">
        <f>IF('Value at Risk'!$C$5=0,'Market Data - EQ'!D564-'Market Data - EQ'!D565,IF('Value at Risk'!$C$6=0,('Market Data - EQ'!D564-'Market Data - EQ'!D565)/'Market Data - EQ'!D565,LN('Market Data - EQ'!D564/'Market Data - EQ'!D565)))</f>
        <v>-7.1501733544362522E-3</v>
      </c>
      <c r="J564" s="3">
        <f>IF('Value at Risk'!$C$5=0,'Market Data - EQ'!E564-'Market Data - EQ'!E565,IF('Value at Risk'!$C$6=0,('Market Data - EQ'!E564-'Market Data - EQ'!E565)/'Market Data - EQ'!E565,LN('Market Data - EQ'!E564/'Market Data - EQ'!E565)))</f>
        <v>-1.7006521475054246E-2</v>
      </c>
      <c r="K564" s="3">
        <f>IF('Value at Risk'!$C$5=0,'Market Data - EQ'!F564-'Market Data - EQ'!F565,IF('Value at Risk'!$C$6=0,('Market Data - EQ'!F564-'Market Data - EQ'!F565)/'Market Data - EQ'!F565,LN('Market Data - EQ'!F564/'Market Data - EQ'!F565)))</f>
        <v>-6.9263607503606923E-3</v>
      </c>
      <c r="L564" s="8">
        <f t="shared" si="8"/>
        <v>-7.1476109702890787E-3</v>
      </c>
    </row>
    <row r="565" spans="1:12" x14ac:dyDescent="0.25">
      <c r="A565" s="5">
        <v>42992</v>
      </c>
      <c r="B565" s="4">
        <v>919.70001200000002</v>
      </c>
      <c r="C565" s="4">
        <v>274.20001200000002</v>
      </c>
      <c r="D565" s="4">
        <v>293.70001200000002</v>
      </c>
      <c r="E565" s="4">
        <v>1728.75</v>
      </c>
      <c r="F565" s="4">
        <v>519.75</v>
      </c>
      <c r="G565" s="3">
        <f>IF('Value at Risk'!$C$5=0,'Market Data - EQ'!B565-'Market Data - EQ'!B566,IF('Value at Risk'!$C$6=0,('Market Data - EQ'!B565-'Market Data - EQ'!B566)/'Market Data - EQ'!B566,LN('Market Data - EQ'!B565/'Market Data - EQ'!B566)))</f>
        <v>-1.3301582821205517E-3</v>
      </c>
      <c r="H565" s="3">
        <f>IF('Value at Risk'!$C$5=0,'Market Data - EQ'!C565-'Market Data - EQ'!C566,IF('Value at Risk'!$C$6=0,('Market Data - EQ'!C565-'Market Data - EQ'!C566)/'Market Data - EQ'!C566,LN('Market Data - EQ'!C565/'Market Data - EQ'!C566)))</f>
        <v>2.9261814833837297E-3</v>
      </c>
      <c r="I565" s="3">
        <f>IF('Value at Risk'!$C$5=0,'Market Data - EQ'!D565-'Market Data - EQ'!D566,IF('Value at Risk'!$C$6=0,('Market Data - EQ'!D565-'Market Data - EQ'!D566)/'Market Data - EQ'!D566,LN('Market Data - EQ'!D565/'Market Data - EQ'!D566)))</f>
        <v>5.8219589041096408E-3</v>
      </c>
      <c r="J565" s="3">
        <f>IF('Value at Risk'!$C$5=0,'Market Data - EQ'!E565-'Market Data - EQ'!E566,IF('Value at Risk'!$C$6=0,('Market Data - EQ'!E565-'Market Data - EQ'!E566)/'Market Data - EQ'!E566,LN('Market Data - EQ'!E565/'Market Data - EQ'!E566)))</f>
        <v>-9.1703682475999422E-3</v>
      </c>
      <c r="K565" s="3">
        <f>IF('Value at Risk'!$C$5=0,'Market Data - EQ'!F565-'Market Data - EQ'!F566,IF('Value at Risk'!$C$6=0,('Market Data - EQ'!F565-'Market Data - EQ'!F566)/'Market Data - EQ'!F566,LN('Market Data - EQ'!F565/'Market Data - EQ'!F566)))</f>
        <v>4.0957365294388946E-2</v>
      </c>
      <c r="L565" s="8">
        <f t="shared" si="8"/>
        <v>7.8409958304323651E-3</v>
      </c>
    </row>
    <row r="566" spans="1:12" x14ac:dyDescent="0.25">
      <c r="A566" s="5">
        <v>42991</v>
      </c>
      <c r="B566" s="4">
        <v>920.92498799999998</v>
      </c>
      <c r="C566" s="4">
        <v>273.39999399999999</v>
      </c>
      <c r="D566" s="4">
        <v>292</v>
      </c>
      <c r="E566" s="4">
        <v>1744.75</v>
      </c>
      <c r="F566" s="4">
        <v>499.29998799999998</v>
      </c>
      <c r="G566" s="3">
        <f>IF('Value at Risk'!$C$5=0,'Market Data - EQ'!B566-'Market Data - EQ'!B567,IF('Value at Risk'!$C$6=0,('Market Data - EQ'!B566-'Market Data - EQ'!B567)/'Market Data - EQ'!B567,LN('Market Data - EQ'!B566/'Market Data - EQ'!B567)))</f>
        <v>3.6235964330496181E-3</v>
      </c>
      <c r="H566" s="3">
        <f>IF('Value at Risk'!$C$5=0,'Market Data - EQ'!C566-'Market Data - EQ'!C567,IF('Value at Risk'!$C$6=0,('Market Data - EQ'!C566-'Market Data - EQ'!C567)/'Market Data - EQ'!C567,LN('Market Data - EQ'!C566/'Market Data - EQ'!C567)))</f>
        <v>-1.8291460159095829E-4</v>
      </c>
      <c r="I566" s="3">
        <f>IF('Value at Risk'!$C$5=0,'Market Data - EQ'!D566-'Market Data - EQ'!D567,IF('Value at Risk'!$C$6=0,('Market Data - EQ'!D566-'Market Data - EQ'!D567)/'Market Data - EQ'!D567,LN('Market Data - EQ'!D566/'Market Data - EQ'!D567)))</f>
        <v>2.7472114252522243E-3</v>
      </c>
      <c r="J566" s="3">
        <f>IF('Value at Risk'!$C$5=0,'Market Data - EQ'!E566-'Market Data - EQ'!E567,IF('Value at Risk'!$C$6=0,('Market Data - EQ'!E566-'Market Data - EQ'!E567)/'Market Data - EQ'!E567,LN('Market Data - EQ'!E566/'Market Data - EQ'!E567)))</f>
        <v>1.6361306393781699E-3</v>
      </c>
      <c r="K566" s="3">
        <f>IF('Value at Risk'!$C$5=0,'Market Data - EQ'!F566-'Market Data - EQ'!F567,IF('Value at Risk'!$C$6=0,('Market Data - EQ'!F566-'Market Data - EQ'!F567)/'Market Data - EQ'!F567,LN('Market Data - EQ'!F566/'Market Data - EQ'!F567)))</f>
        <v>5.6394521651560621E-3</v>
      </c>
      <c r="L566" s="8">
        <f t="shared" si="8"/>
        <v>2.6926952122490232E-3</v>
      </c>
    </row>
    <row r="567" spans="1:12" x14ac:dyDescent="0.25">
      <c r="A567" s="5">
        <v>42990</v>
      </c>
      <c r="B567" s="4">
        <v>917.59997599999997</v>
      </c>
      <c r="C567" s="4">
        <v>273.45001200000002</v>
      </c>
      <c r="D567" s="4">
        <v>291.20001200000002</v>
      </c>
      <c r="E567" s="4">
        <v>1741.900024</v>
      </c>
      <c r="F567" s="4">
        <v>496.5</v>
      </c>
      <c r="G567" s="3">
        <f>IF('Value at Risk'!$C$5=0,'Market Data - EQ'!B567-'Market Data - EQ'!B568,IF('Value at Risk'!$C$6=0,('Market Data - EQ'!B567-'Market Data - EQ'!B568)/'Market Data - EQ'!B568,LN('Market Data - EQ'!B567/'Market Data - EQ'!B568)))</f>
        <v>6.4990134400835231E-3</v>
      </c>
      <c r="H567" s="3">
        <f>IF('Value at Risk'!$C$5=0,'Market Data - EQ'!C567-'Market Data - EQ'!C568,IF('Value at Risk'!$C$6=0,('Market Data - EQ'!C567-'Market Data - EQ'!C568)/'Market Data - EQ'!C568,LN('Market Data - EQ'!C567/'Market Data - EQ'!C568)))</f>
        <v>9.2267942029100186E-3</v>
      </c>
      <c r="I567" s="3">
        <f>IF('Value at Risk'!$C$5=0,'Market Data - EQ'!D567-'Market Data - EQ'!D568,IF('Value at Risk'!$C$6=0,('Market Data - EQ'!D567-'Market Data - EQ'!D568)/'Market Data - EQ'!D568,LN('Market Data - EQ'!D567/'Market Data - EQ'!D568)))</f>
        <v>1.3755984061458433E-3</v>
      </c>
      <c r="J567" s="3">
        <f>IF('Value at Risk'!$C$5=0,'Market Data - EQ'!E567-'Market Data - EQ'!E568,IF('Value at Risk'!$C$6=0,('Market Data - EQ'!E567-'Market Data - EQ'!E568)/'Market Data - EQ'!E568,LN('Market Data - EQ'!E567/'Market Data - EQ'!E568)))</f>
        <v>-2.7550579762735502E-2</v>
      </c>
      <c r="K567" s="3">
        <f>IF('Value at Risk'!$C$5=0,'Market Data - EQ'!F567-'Market Data - EQ'!F568,IF('Value at Risk'!$C$6=0,('Market Data - EQ'!F567-'Market Data - EQ'!F568)/'Market Data - EQ'!F568,LN('Market Data - EQ'!F567/'Market Data - EQ'!F568)))</f>
        <v>5.2642357391889496E-3</v>
      </c>
      <c r="L567" s="8">
        <f t="shared" si="8"/>
        <v>-1.0369875948814332E-3</v>
      </c>
    </row>
    <row r="568" spans="1:12" x14ac:dyDescent="0.25">
      <c r="A568" s="5">
        <v>42989</v>
      </c>
      <c r="B568" s="4">
        <v>911.67498799999998</v>
      </c>
      <c r="C568" s="4">
        <v>270.95001200000002</v>
      </c>
      <c r="D568" s="4">
        <v>290.79998799999998</v>
      </c>
      <c r="E568" s="4">
        <v>1791.25</v>
      </c>
      <c r="F568" s="4">
        <v>493.89999399999999</v>
      </c>
      <c r="G568" s="3">
        <f>IF('Value at Risk'!$C$5=0,'Market Data - EQ'!B568-'Market Data - EQ'!B569,IF('Value at Risk'!$C$6=0,('Market Data - EQ'!B568-'Market Data - EQ'!B569)/'Market Data - EQ'!B569,LN('Market Data - EQ'!B568/'Market Data - EQ'!B569)))</f>
        <v>1.9970325019277899E-2</v>
      </c>
      <c r="H568" s="3">
        <f>IF('Value at Risk'!$C$5=0,'Market Data - EQ'!C568-'Market Data - EQ'!C569,IF('Value at Risk'!$C$6=0,('Market Data - EQ'!C568-'Market Data - EQ'!C569)/'Market Data - EQ'!C569,LN('Market Data - EQ'!C568/'Market Data - EQ'!C569)))</f>
        <v>-3.1272113227612422E-3</v>
      </c>
      <c r="I568" s="3">
        <f>IF('Value at Risk'!$C$5=0,'Market Data - EQ'!D568-'Market Data - EQ'!D569,IF('Value at Risk'!$C$6=0,('Market Data - EQ'!D568-'Market Data - EQ'!D569)/'Market Data - EQ'!D569,LN('Market Data - EQ'!D568/'Market Data - EQ'!D569)))</f>
        <v>-4.1096301369863532E-3</v>
      </c>
      <c r="J568" s="3">
        <f>IF('Value at Risk'!$C$5=0,'Market Data - EQ'!E568-'Market Data - EQ'!E569,IF('Value at Risk'!$C$6=0,('Market Data - EQ'!E568-'Market Data - EQ'!E569)/'Market Data - EQ'!E569,LN('Market Data - EQ'!E568/'Market Data - EQ'!E569)))</f>
        <v>5.6223819005028784E-2</v>
      </c>
      <c r="K568" s="3">
        <f>IF('Value at Risk'!$C$5=0,'Market Data - EQ'!F568-'Market Data - EQ'!F569,IF('Value at Risk'!$C$6=0,('Market Data - EQ'!F568-'Market Data - EQ'!F569)/'Market Data - EQ'!F569,LN('Market Data - EQ'!F568/'Market Data - EQ'!F569)))</f>
        <v>-2.0244129554657407E-4</v>
      </c>
      <c r="L568" s="8">
        <f t="shared" si="8"/>
        <v>1.3750972253802504E-2</v>
      </c>
    </row>
    <row r="569" spans="1:12" x14ac:dyDescent="0.25">
      <c r="A569" s="5">
        <v>42986</v>
      </c>
      <c r="B569" s="4">
        <v>893.82501200000002</v>
      </c>
      <c r="C569" s="4">
        <v>271.79998799999998</v>
      </c>
      <c r="D569" s="4">
        <v>292</v>
      </c>
      <c r="E569" s="4">
        <v>1695.900024</v>
      </c>
      <c r="F569" s="4">
        <v>494</v>
      </c>
      <c r="G569" s="3">
        <f>IF('Value at Risk'!$C$5=0,'Market Data - EQ'!B569-'Market Data - EQ'!B570,IF('Value at Risk'!$C$6=0,('Market Data - EQ'!B569-'Market Data - EQ'!B570)/'Market Data - EQ'!B570,LN('Market Data - EQ'!B569/'Market Data - EQ'!B570)))</f>
        <v>1.1944171083003456E-2</v>
      </c>
      <c r="H569" s="3">
        <f>IF('Value at Risk'!$C$5=0,'Market Data - EQ'!C569-'Market Data - EQ'!C570,IF('Value at Risk'!$C$6=0,('Market Data - EQ'!C569-'Market Data - EQ'!C570)/'Market Data - EQ'!C570,LN('Market Data - EQ'!C569/'Market Data - EQ'!C570)))</f>
        <v>-8.7528223740560244E-3</v>
      </c>
      <c r="I569" s="3">
        <f>IF('Value at Risk'!$C$5=0,'Market Data - EQ'!D569-'Market Data - EQ'!D570,IF('Value at Risk'!$C$6=0,('Market Data - EQ'!D569-'Market Data - EQ'!D570)/'Market Data - EQ'!D570,LN('Market Data - EQ'!D569/'Market Data - EQ'!D570)))</f>
        <v>-2.2210627484242915E-3</v>
      </c>
      <c r="J569" s="3">
        <f>IF('Value at Risk'!$C$5=0,'Market Data - EQ'!E569-'Market Data - EQ'!E570,IF('Value at Risk'!$C$6=0,('Market Data - EQ'!E569-'Market Data - EQ'!E570)/'Market Data - EQ'!E570,LN('Market Data - EQ'!E569/'Market Data - EQ'!E570)))</f>
        <v>-4.6951111493147091E-3</v>
      </c>
      <c r="K569" s="3">
        <f>IF('Value at Risk'!$C$5=0,'Market Data - EQ'!F569-'Market Data - EQ'!F570,IF('Value at Risk'!$C$6=0,('Market Data - EQ'!F569-'Market Data - EQ'!F570)/'Market Data - EQ'!F570,LN('Market Data - EQ'!F569/'Market Data - EQ'!F570)))</f>
        <v>-5.2356141131420118E-3</v>
      </c>
      <c r="L569" s="8">
        <f t="shared" si="8"/>
        <v>-1.7920878603867158E-3</v>
      </c>
    </row>
    <row r="570" spans="1:12" x14ac:dyDescent="0.25">
      <c r="A570" s="5">
        <v>42985</v>
      </c>
      <c r="B570" s="4">
        <v>883.27502400000003</v>
      </c>
      <c r="C570" s="4">
        <v>274.20001200000002</v>
      </c>
      <c r="D570" s="4">
        <v>292.64999399999999</v>
      </c>
      <c r="E570" s="4">
        <v>1703.900024</v>
      </c>
      <c r="F570" s="4">
        <v>496.60000600000001</v>
      </c>
      <c r="G570" s="3">
        <f>IF('Value at Risk'!$C$5=0,'Market Data - EQ'!B570-'Market Data - EQ'!B571,IF('Value at Risk'!$C$6=0,('Market Data - EQ'!B570-'Market Data - EQ'!B571)/'Market Data - EQ'!B571,LN('Market Data - EQ'!B570/'Market Data - EQ'!B571)))</f>
        <v>3.7786373710510445E-3</v>
      </c>
      <c r="H570" s="3">
        <f>IF('Value at Risk'!$C$5=0,'Market Data - EQ'!C570-'Market Data - EQ'!C571,IF('Value at Risk'!$C$6=0,('Market Data - EQ'!C570-'Market Data - EQ'!C571)/'Market Data - EQ'!C571,LN('Market Data - EQ'!C570/'Market Data - EQ'!C571)))</f>
        <v>-1.8227164995436582E-4</v>
      </c>
      <c r="I570" s="3">
        <f>IF('Value at Risk'!$C$5=0,'Market Data - EQ'!D570-'Market Data - EQ'!D571,IF('Value at Risk'!$C$6=0,('Market Data - EQ'!D570-'Market Data - EQ'!D571)/'Market Data - EQ'!D571,LN('Market Data - EQ'!D570/'Market Data - EQ'!D571)))</f>
        <v>-9.1417367365823413E-3</v>
      </c>
      <c r="J570" s="3">
        <f>IF('Value at Risk'!$C$5=0,'Market Data - EQ'!E570-'Market Data - EQ'!E571,IF('Value at Risk'!$C$6=0,('Market Data - EQ'!E570-'Market Data - EQ'!E571)/'Market Data - EQ'!E571,LN('Market Data - EQ'!E570/'Market Data - EQ'!E571)))</f>
        <v>1.1336642001724019E-2</v>
      </c>
      <c r="K570" s="3">
        <f>IF('Value at Risk'!$C$5=0,'Market Data - EQ'!F570-'Market Data - EQ'!F571,IF('Value at Risk'!$C$6=0,('Market Data - EQ'!F570-'Market Data - EQ'!F571)/'Market Data - EQ'!F571,LN('Market Data - EQ'!F570/'Market Data - EQ'!F571)))</f>
        <v>7.6088058320932638E-3</v>
      </c>
      <c r="L570" s="8">
        <f t="shared" si="8"/>
        <v>2.6800153636663245E-3</v>
      </c>
    </row>
    <row r="571" spans="1:12" x14ac:dyDescent="0.25">
      <c r="A571" s="5">
        <v>42984</v>
      </c>
      <c r="B571" s="4">
        <v>879.95001200000002</v>
      </c>
      <c r="C571" s="4">
        <v>274.25</v>
      </c>
      <c r="D571" s="4">
        <v>295.35000600000001</v>
      </c>
      <c r="E571" s="4">
        <v>1684.8000489999999</v>
      </c>
      <c r="F571" s="4">
        <v>492.85000600000001</v>
      </c>
      <c r="G571" s="3">
        <f>IF('Value at Risk'!$C$5=0,'Market Data - EQ'!B571-'Market Data - EQ'!B572,IF('Value at Risk'!$C$6=0,('Market Data - EQ'!B571-'Market Data - EQ'!B572)/'Market Data - EQ'!B572,LN('Market Data - EQ'!B571/'Market Data - EQ'!B572)))</f>
        <v>2.5921030348423583E-3</v>
      </c>
      <c r="H571" s="3">
        <f>IF('Value at Risk'!$C$5=0,'Market Data - EQ'!C571-'Market Data - EQ'!C572,IF('Value at Risk'!$C$6=0,('Market Data - EQ'!C571-'Market Data - EQ'!C572)/'Market Data - EQ'!C572,LN('Market Data - EQ'!C571/'Market Data - EQ'!C572)))</f>
        <v>-8.3167170486370991E-3</v>
      </c>
      <c r="I571" s="3">
        <f>IF('Value at Risk'!$C$5=0,'Market Data - EQ'!D571-'Market Data - EQ'!D572,IF('Value at Risk'!$C$6=0,('Market Data - EQ'!D571-'Market Data - EQ'!D572)/'Market Data - EQ'!D572,LN('Market Data - EQ'!D571/'Market Data - EQ'!D572)))</f>
        <v>-7.5604837185386346E-3</v>
      </c>
      <c r="J571" s="3">
        <f>IF('Value at Risk'!$C$5=0,'Market Data - EQ'!E571-'Market Data - EQ'!E572,IF('Value at Risk'!$C$6=0,('Market Data - EQ'!E571-'Market Data - EQ'!E572)/'Market Data - EQ'!E572,LN('Market Data - EQ'!E571/'Market Data - EQ'!E572)))</f>
        <v>2.9707078201480636E-5</v>
      </c>
      <c r="K571" s="3">
        <f>IF('Value at Risk'!$C$5=0,'Market Data - EQ'!F571-'Market Data - EQ'!F572,IF('Value at Risk'!$C$6=0,('Market Data - EQ'!F571-'Market Data - EQ'!F572)/'Market Data - EQ'!F572,LN('Market Data - EQ'!F571/'Market Data - EQ'!F572)))</f>
        <v>-2.0957465486183508E-2</v>
      </c>
      <c r="L571" s="8">
        <f t="shared" si="8"/>
        <v>-6.842571228063081E-3</v>
      </c>
    </row>
    <row r="572" spans="1:12" x14ac:dyDescent="0.25">
      <c r="A572" s="5">
        <v>42983</v>
      </c>
      <c r="B572" s="4">
        <v>877.67498799999998</v>
      </c>
      <c r="C572" s="4">
        <v>276.54998799999998</v>
      </c>
      <c r="D572" s="4">
        <v>297.60000600000001</v>
      </c>
      <c r="E572" s="4">
        <v>1684.75</v>
      </c>
      <c r="F572" s="4">
        <v>503.39999399999999</v>
      </c>
      <c r="G572" s="3">
        <f>IF('Value at Risk'!$C$5=0,'Market Data - EQ'!B572-'Market Data - EQ'!B573,IF('Value at Risk'!$C$6=0,('Market Data - EQ'!B572-'Market Data - EQ'!B573)/'Market Data - EQ'!B573,LN('Market Data - EQ'!B572/'Market Data - EQ'!B573)))</f>
        <v>2.5415226106593161E-3</v>
      </c>
      <c r="H572" s="3">
        <f>IF('Value at Risk'!$C$5=0,'Market Data - EQ'!C572-'Market Data - EQ'!C573,IF('Value at Risk'!$C$6=0,('Market Data - EQ'!C572-'Market Data - EQ'!C573)/'Market Data - EQ'!C573,LN('Market Data - EQ'!C572/'Market Data - EQ'!C573)))</f>
        <v>-4.3204752475248069E-3</v>
      </c>
      <c r="I572" s="3">
        <f>IF('Value at Risk'!$C$5=0,'Market Data - EQ'!D572-'Market Data - EQ'!D573,IF('Value at Risk'!$C$6=0,('Market Data - EQ'!D572-'Market Data - EQ'!D573)/'Market Data - EQ'!D573,LN('Market Data - EQ'!D572/'Market Data - EQ'!D573)))</f>
        <v>1.6829350047202624E-3</v>
      </c>
      <c r="J572" s="3">
        <f>IF('Value at Risk'!$C$5=0,'Market Data - EQ'!E572-'Market Data - EQ'!E573,IF('Value at Risk'!$C$6=0,('Market Data - EQ'!E572-'Market Data - EQ'!E573)/'Market Data - EQ'!E573,LN('Market Data - EQ'!E572/'Market Data - EQ'!E573)))</f>
        <v>9.1647245793952791E-3</v>
      </c>
      <c r="K572" s="3">
        <f>IF('Value at Risk'!$C$5=0,'Market Data - EQ'!F572-'Market Data - EQ'!F573,IF('Value at Risk'!$C$6=0,('Market Data - EQ'!F572-'Market Data - EQ'!F573)/'Market Data - EQ'!F573,LN('Market Data - EQ'!F572/'Market Data - EQ'!F573)))</f>
        <v>3.2884783258594766E-3</v>
      </c>
      <c r="L572" s="8">
        <f t="shared" si="8"/>
        <v>2.4714370546219055E-3</v>
      </c>
    </row>
    <row r="573" spans="1:12" x14ac:dyDescent="0.25">
      <c r="A573" s="5">
        <v>42982</v>
      </c>
      <c r="B573" s="4">
        <v>875.45001200000002</v>
      </c>
      <c r="C573" s="4">
        <v>277.75</v>
      </c>
      <c r="D573" s="4">
        <v>297.10000600000001</v>
      </c>
      <c r="E573" s="4">
        <v>1669.4499510000001</v>
      </c>
      <c r="F573" s="4">
        <v>501.75</v>
      </c>
      <c r="G573" s="3">
        <f>IF('Value at Risk'!$C$5=0,'Market Data - EQ'!B573-'Market Data - EQ'!B574,IF('Value at Risk'!$C$6=0,('Market Data - EQ'!B573-'Market Data - EQ'!B574)/'Market Data - EQ'!B574,LN('Market Data - EQ'!B573/'Market Data - EQ'!B574)))</f>
        <v>-9.4478118503889021E-3</v>
      </c>
      <c r="H573" s="3">
        <f>IF('Value at Risk'!$C$5=0,'Market Data - EQ'!C573-'Market Data - EQ'!C574,IF('Value at Risk'!$C$6=0,('Market Data - EQ'!C573-'Market Data - EQ'!C574)/'Market Data - EQ'!C574,LN('Market Data - EQ'!C573/'Market Data - EQ'!C574)))</f>
        <v>-3.5992801094273714E-4</v>
      </c>
      <c r="I573" s="3">
        <f>IF('Value at Risk'!$C$5=0,'Market Data - EQ'!D573-'Market Data - EQ'!D574,IF('Value at Risk'!$C$6=0,('Market Data - EQ'!D573-'Market Data - EQ'!D574)/'Market Data - EQ'!D574,LN('Market Data - EQ'!D573/'Market Data - EQ'!D574)))</f>
        <v>-4.0227356629996824E-3</v>
      </c>
      <c r="J573" s="3">
        <f>IF('Value at Risk'!$C$5=0,'Market Data - EQ'!E573-'Market Data - EQ'!E574,IF('Value at Risk'!$C$6=0,('Market Data - EQ'!E573-'Market Data - EQ'!E574)/'Market Data - EQ'!E574,LN('Market Data - EQ'!E573/'Market Data - EQ'!E574)))</f>
        <v>-1.347321554143888E-2</v>
      </c>
      <c r="K573" s="3">
        <f>IF('Value at Risk'!$C$5=0,'Market Data - EQ'!F573-'Market Data - EQ'!F574,IF('Value at Risk'!$C$6=0,('Market Data - EQ'!F573-'Market Data - EQ'!F574)/'Market Data - EQ'!F574,LN('Market Data - EQ'!F573/'Market Data - EQ'!F574)))</f>
        <v>-1.1427422199052411E-2</v>
      </c>
      <c r="L573" s="8">
        <f t="shared" si="8"/>
        <v>-7.7462226529645224E-3</v>
      </c>
    </row>
    <row r="574" spans="1:12" x14ac:dyDescent="0.25">
      <c r="A574" s="5">
        <v>42979</v>
      </c>
      <c r="B574" s="4">
        <v>883.79998799999998</v>
      </c>
      <c r="C574" s="4">
        <v>277.85000600000001</v>
      </c>
      <c r="D574" s="4">
        <v>298.29998799999998</v>
      </c>
      <c r="E574" s="4">
        <v>1692.25</v>
      </c>
      <c r="F574" s="4">
        <v>507.54998799999998</v>
      </c>
      <c r="G574" s="3">
        <f>IF('Value at Risk'!$C$5=0,'Market Data - EQ'!B574-'Market Data - EQ'!B575,IF('Value at Risk'!$C$6=0,('Market Data - EQ'!B574-'Market Data - EQ'!B575)/'Market Data - EQ'!B575,LN('Market Data - EQ'!B574/'Market Data - EQ'!B575)))</f>
        <v>-4.9818324406135425E-3</v>
      </c>
      <c r="H574" s="3">
        <f>IF('Value at Risk'!$C$5=0,'Market Data - EQ'!C574-'Market Data - EQ'!C575,IF('Value at Risk'!$C$6=0,('Market Data - EQ'!C574-'Market Data - EQ'!C575)/'Market Data - EQ'!C575,LN('Market Data - EQ'!C574/'Market Data - EQ'!C575)))</f>
        <v>3.6005760576060341E-4</v>
      </c>
      <c r="I574" s="3">
        <f>IF('Value at Risk'!$C$5=0,'Market Data - EQ'!D574-'Market Data - EQ'!D575,IF('Value at Risk'!$C$6=0,('Market Data - EQ'!D574-'Market Data - EQ'!D575)/'Market Data - EQ'!D575,LN('Market Data - EQ'!D574/'Market Data - EQ'!D575)))</f>
        <v>8.387854724557144E-4</v>
      </c>
      <c r="J574" s="3">
        <f>IF('Value at Risk'!$C$5=0,'Market Data - EQ'!E574-'Market Data - EQ'!E575,IF('Value at Risk'!$C$6=0,('Market Data - EQ'!E574-'Market Data - EQ'!E575)/'Market Data - EQ'!E575,LN('Market Data - EQ'!E574/'Market Data - EQ'!E575)))</f>
        <v>2.1427493586841709E-2</v>
      </c>
      <c r="K574" s="3">
        <f>IF('Value at Risk'!$C$5=0,'Market Data - EQ'!F574-'Market Data - EQ'!F575,IF('Value at Risk'!$C$6=0,('Market Data - EQ'!F574-'Market Data - EQ'!F575)/'Market Data - EQ'!F575,LN('Market Data - EQ'!F574/'Market Data - EQ'!F575)))</f>
        <v>1.4389890903688682E-2</v>
      </c>
      <c r="L574" s="8">
        <f t="shared" si="8"/>
        <v>6.4068790256266326E-3</v>
      </c>
    </row>
    <row r="575" spans="1:12" x14ac:dyDescent="0.25">
      <c r="A575" s="5">
        <v>42978</v>
      </c>
      <c r="B575" s="4">
        <v>888.22497599999997</v>
      </c>
      <c r="C575" s="4">
        <v>277.75</v>
      </c>
      <c r="D575" s="4">
        <v>298.04998799999998</v>
      </c>
      <c r="E575" s="4">
        <v>1656.75</v>
      </c>
      <c r="F575" s="4">
        <v>500.35000600000001</v>
      </c>
      <c r="G575" s="3">
        <f>IF('Value at Risk'!$C$5=0,'Market Data - EQ'!B575-'Market Data - EQ'!B576,IF('Value at Risk'!$C$6=0,('Market Data - EQ'!B575-'Market Data - EQ'!B576)/'Market Data - EQ'!B576,LN('Market Data - EQ'!B575/'Market Data - EQ'!B576)))</f>
        <v>4.466881787673265E-3</v>
      </c>
      <c r="H575" s="3">
        <f>IF('Value at Risk'!$C$5=0,'Market Data - EQ'!C575-'Market Data - EQ'!C576,IF('Value at Risk'!$C$6=0,('Market Data - EQ'!C575-'Market Data - EQ'!C576)/'Market Data - EQ'!C576,LN('Market Data - EQ'!C575/'Market Data - EQ'!C576)))</f>
        <v>4.1576065620186299E-3</v>
      </c>
      <c r="I575" s="3">
        <f>IF('Value at Risk'!$C$5=0,'Market Data - EQ'!D575-'Market Data - EQ'!D576,IF('Value at Risk'!$C$6=0,('Market Data - EQ'!D575-'Market Data - EQ'!D576)/'Market Data - EQ'!D576,LN('Market Data - EQ'!D575/'Market Data - EQ'!D576)))</f>
        <v>-7.4925077919084032E-3</v>
      </c>
      <c r="J575" s="3">
        <f>IF('Value at Risk'!$C$5=0,'Market Data - EQ'!E575-'Market Data - EQ'!E576,IF('Value at Risk'!$C$6=0,('Market Data - EQ'!E575-'Market Data - EQ'!E576)/'Market Data - EQ'!E576,LN('Market Data - EQ'!E575/'Market Data - EQ'!E576)))</f>
        <v>5.737111800266987E-4</v>
      </c>
      <c r="K575" s="3">
        <f>IF('Value at Risk'!$C$5=0,'Market Data - EQ'!F575-'Market Data - EQ'!F576,IF('Value at Risk'!$C$6=0,('Market Data - EQ'!F575-'Market Data - EQ'!F576)/'Market Data - EQ'!F576,LN('Market Data - EQ'!F575/'Market Data - EQ'!F576)))</f>
        <v>-7.045024890395186E-3</v>
      </c>
      <c r="L575" s="8">
        <f t="shared" si="8"/>
        <v>-1.0678666305169991E-3</v>
      </c>
    </row>
    <row r="576" spans="1:12" x14ac:dyDescent="0.25">
      <c r="A576" s="5">
        <v>42977</v>
      </c>
      <c r="B576" s="4">
        <v>884.27502400000003</v>
      </c>
      <c r="C576" s="4">
        <v>276.60000600000001</v>
      </c>
      <c r="D576" s="4">
        <v>300.29998799999998</v>
      </c>
      <c r="E576" s="4">
        <v>1655.8000489999999</v>
      </c>
      <c r="F576" s="4">
        <v>503.89999399999999</v>
      </c>
      <c r="G576" s="3">
        <f>IF('Value at Risk'!$C$5=0,'Market Data - EQ'!B576-'Market Data - EQ'!B577,IF('Value at Risk'!$C$6=0,('Market Data - EQ'!B576-'Market Data - EQ'!B577)/'Market Data - EQ'!B577,LN('Market Data - EQ'!B576/'Market Data - EQ'!B577)))</f>
        <v>1.2828235656800604E-2</v>
      </c>
      <c r="H576" s="3">
        <f>IF('Value at Risk'!$C$5=0,'Market Data - EQ'!C576-'Market Data - EQ'!C577,IF('Value at Risk'!$C$6=0,('Market Data - EQ'!C576-'Market Data - EQ'!C577)/'Market Data - EQ'!C577,LN('Market Data - EQ'!C576/'Market Data - EQ'!C577)))</f>
        <v>-1.444021660649792E-3</v>
      </c>
      <c r="I576" s="3">
        <f>IF('Value at Risk'!$C$5=0,'Market Data - EQ'!D576-'Market Data - EQ'!D577,IF('Value at Risk'!$C$6=0,('Market Data - EQ'!D576-'Market Data - EQ'!D577)/'Market Data - EQ'!D577,LN('Market Data - EQ'!D576/'Market Data - EQ'!D577)))</f>
        <v>2.6710784641067941E-3</v>
      </c>
      <c r="J576" s="3">
        <f>IF('Value at Risk'!$C$5=0,'Market Data - EQ'!E576-'Market Data - EQ'!E577,IF('Value at Risk'!$C$6=0,('Market Data - EQ'!E576-'Market Data - EQ'!E577)/'Market Data - EQ'!E577,LN('Market Data - EQ'!E576/'Market Data - EQ'!E577)))</f>
        <v>7.606644938401021E-3</v>
      </c>
      <c r="K576" s="3">
        <f>IF('Value at Risk'!$C$5=0,'Market Data - EQ'!F576-'Market Data - EQ'!F577,IF('Value at Risk'!$C$6=0,('Market Data - EQ'!F576-'Market Data - EQ'!F577)/'Market Data - EQ'!F577,LN('Market Data - EQ'!F576/'Market Data - EQ'!F577)))</f>
        <v>5.9568704611966355E-4</v>
      </c>
      <c r="L576" s="8">
        <f t="shared" si="8"/>
        <v>4.4515248889556583E-3</v>
      </c>
    </row>
    <row r="577" spans="1:12" x14ac:dyDescent="0.25">
      <c r="A577" s="5">
        <v>42976</v>
      </c>
      <c r="B577" s="4">
        <v>873.07501200000002</v>
      </c>
      <c r="C577" s="4">
        <v>277</v>
      </c>
      <c r="D577" s="4">
        <v>299.5</v>
      </c>
      <c r="E577" s="4">
        <v>1643.3000489999999</v>
      </c>
      <c r="F577" s="4">
        <v>503.60000600000001</v>
      </c>
      <c r="G577" s="3">
        <f>IF('Value at Risk'!$C$5=0,'Market Data - EQ'!B577-'Market Data - EQ'!B578,IF('Value at Risk'!$C$6=0,('Market Data - EQ'!B577-'Market Data - EQ'!B578)/'Market Data - EQ'!B578,LN('Market Data - EQ'!B577/'Market Data - EQ'!B578)))</f>
        <v>-9.1360340473825904E-3</v>
      </c>
      <c r="H577" s="3">
        <f>IF('Value at Risk'!$C$5=0,'Market Data - EQ'!C577-'Market Data - EQ'!C578,IF('Value at Risk'!$C$6=0,('Market Data - EQ'!C577-'Market Data - EQ'!C578)/'Market Data - EQ'!C578,LN('Market Data - EQ'!C577/'Market Data - EQ'!C578)))</f>
        <v>-8.4124071935763895E-3</v>
      </c>
      <c r="I577" s="3">
        <f>IF('Value at Risk'!$C$5=0,'Market Data - EQ'!D577-'Market Data - EQ'!D578,IF('Value at Risk'!$C$6=0,('Market Data - EQ'!D577-'Market Data - EQ'!D578)/'Market Data - EQ'!D578,LN('Market Data - EQ'!D577/'Market Data - EQ'!D578)))</f>
        <v>-4.6526886936394968E-3</v>
      </c>
      <c r="J577" s="3">
        <f>IF('Value at Risk'!$C$5=0,'Market Data - EQ'!E577-'Market Data - EQ'!E578,IF('Value at Risk'!$C$6=0,('Market Data - EQ'!E577-'Market Data - EQ'!E578)/'Market Data - EQ'!E578,LN('Market Data - EQ'!E577/'Market Data - EQ'!E578)))</f>
        <v>-1.0388124110073119E-2</v>
      </c>
      <c r="K577" s="3">
        <f>IF('Value at Risk'!$C$5=0,'Market Data - EQ'!F577-'Market Data - EQ'!F578,IF('Value at Risk'!$C$6=0,('Market Data - EQ'!F577-'Market Data - EQ'!F578)/'Market Data - EQ'!F578,LN('Market Data - EQ'!F577/'Market Data - EQ'!F578)))</f>
        <v>-1.3709361374351412E-2</v>
      </c>
      <c r="L577" s="8">
        <f t="shared" si="8"/>
        <v>-9.2597230838046031E-3</v>
      </c>
    </row>
    <row r="578" spans="1:12" x14ac:dyDescent="0.25">
      <c r="A578" s="5">
        <v>42975</v>
      </c>
      <c r="B578" s="4">
        <v>881.125</v>
      </c>
      <c r="C578" s="4">
        <v>279.35000600000001</v>
      </c>
      <c r="D578" s="4">
        <v>300.89999399999999</v>
      </c>
      <c r="E578" s="4">
        <v>1660.5500489999999</v>
      </c>
      <c r="F578" s="4">
        <v>510.60000600000001</v>
      </c>
      <c r="G578" s="3">
        <f>IF('Value at Risk'!$C$5=0,'Market Data - EQ'!B578-'Market Data - EQ'!B579,IF('Value at Risk'!$C$6=0,('Market Data - EQ'!B578-'Market Data - EQ'!B579)/'Market Data - EQ'!B579,LN('Market Data - EQ'!B578/'Market Data - EQ'!B579)))</f>
        <v>-1.4184397163120567E-4</v>
      </c>
      <c r="H578" s="3">
        <f>IF('Value at Risk'!$C$5=0,'Market Data - EQ'!C578-'Market Data - EQ'!C579,IF('Value at Risk'!$C$6=0,('Market Data - EQ'!C578-'Market Data - EQ'!C579)/'Market Data - EQ'!C579,LN('Market Data - EQ'!C578/'Market Data - EQ'!C579)))</f>
        <v>-3.3891617576522239E-3</v>
      </c>
      <c r="I578" s="3">
        <f>IF('Value at Risk'!$C$5=0,'Market Data - EQ'!D578-'Market Data - EQ'!D579,IF('Value at Risk'!$C$6=0,('Market Data - EQ'!D578-'Market Data - EQ'!D579)/'Market Data - EQ'!D579,LN('Market Data - EQ'!D578/'Market Data - EQ'!D579)))</f>
        <v>1.0749015354423221E-2</v>
      </c>
      <c r="J578" s="3">
        <f>IF('Value at Risk'!$C$5=0,'Market Data - EQ'!E578-'Market Data - EQ'!E579,IF('Value at Risk'!$C$6=0,('Market Data - EQ'!E578-'Market Data - EQ'!E579)/'Market Data - EQ'!E579,LN('Market Data - EQ'!E578/'Market Data - EQ'!E579)))</f>
        <v>-4.2872832104557104E-3</v>
      </c>
      <c r="K578" s="3">
        <f>IF('Value at Risk'!$C$5=0,'Market Data - EQ'!F578-'Market Data - EQ'!F579,IF('Value at Risk'!$C$6=0,('Market Data - EQ'!F578-'Market Data - EQ'!F579)/'Market Data - EQ'!F579,LN('Market Data - EQ'!F578/'Market Data - EQ'!F579)))</f>
        <v>7.3986385629045449E-3</v>
      </c>
      <c r="L578" s="8">
        <f t="shared" si="8"/>
        <v>2.065872995517725E-3</v>
      </c>
    </row>
    <row r="579" spans="1:12" x14ac:dyDescent="0.25">
      <c r="A579" s="5">
        <v>42971</v>
      </c>
      <c r="B579" s="4">
        <v>881.25</v>
      </c>
      <c r="C579" s="4">
        <v>280.29998799999998</v>
      </c>
      <c r="D579" s="4">
        <v>297.70001200000002</v>
      </c>
      <c r="E579" s="4">
        <v>1667.6999510000001</v>
      </c>
      <c r="F579" s="4">
        <v>506.85000600000001</v>
      </c>
      <c r="G579" s="3">
        <f>IF('Value at Risk'!$C$5=0,'Market Data - EQ'!B579-'Market Data - EQ'!B580,IF('Value at Risk'!$C$6=0,('Market Data - EQ'!B579-'Market Data - EQ'!B580)/'Market Data - EQ'!B580,LN('Market Data - EQ'!B579/'Market Data - EQ'!B580)))</f>
        <v>-5.6136716237164246E-3</v>
      </c>
      <c r="H579" s="3">
        <f>IF('Value at Risk'!$C$5=0,'Market Data - EQ'!C579-'Market Data - EQ'!C580,IF('Value at Risk'!$C$6=0,('Market Data - EQ'!C579-'Market Data - EQ'!C580)/'Market Data - EQ'!C580,LN('Market Data - EQ'!C579/'Market Data - EQ'!C580)))</f>
        <v>4.6594551971325619E-3</v>
      </c>
      <c r="I579" s="3">
        <f>IF('Value at Risk'!$C$5=0,'Market Data - EQ'!D579-'Market Data - EQ'!D580,IF('Value at Risk'!$C$6=0,('Market Data - EQ'!D579-'Market Data - EQ'!D580)/'Market Data - EQ'!D580,LN('Market Data - EQ'!D579/'Market Data - EQ'!D580)))</f>
        <v>-3.0140454853172121E-3</v>
      </c>
      <c r="J579" s="3">
        <f>IF('Value at Risk'!$C$5=0,'Market Data - EQ'!E579-'Market Data - EQ'!E580,IF('Value at Risk'!$C$6=0,('Market Data - EQ'!E579-'Market Data - EQ'!E580)/'Market Data - EQ'!E580,LN('Market Data - EQ'!E579/'Market Data - EQ'!E580)))</f>
        <v>4.0941218024812464E-3</v>
      </c>
      <c r="K579" s="3">
        <f>IF('Value at Risk'!$C$5=0,'Market Data - EQ'!F579-'Market Data - EQ'!F580,IF('Value at Risk'!$C$6=0,('Market Data - EQ'!F579-'Market Data - EQ'!F580)/'Market Data - EQ'!F580,LN('Market Data - EQ'!F579/'Market Data - EQ'!F580)))</f>
        <v>8.3557386852371376E-3</v>
      </c>
      <c r="L579" s="8">
        <f t="shared" si="8"/>
        <v>1.696319715163462E-3</v>
      </c>
    </row>
    <row r="580" spans="1:12" x14ac:dyDescent="0.25">
      <c r="A580" s="5">
        <v>42970</v>
      </c>
      <c r="B580" s="4">
        <v>886.22497599999997</v>
      </c>
      <c r="C580" s="4">
        <v>279</v>
      </c>
      <c r="D580" s="4">
        <v>298.60000600000001</v>
      </c>
      <c r="E580" s="4">
        <v>1660.900024</v>
      </c>
      <c r="F580" s="4">
        <v>502.64999399999999</v>
      </c>
      <c r="G580" s="3">
        <f>IF('Value at Risk'!$C$5=0,'Market Data - EQ'!B580-'Market Data - EQ'!B581,IF('Value at Risk'!$C$6=0,('Market Data - EQ'!B580-'Market Data - EQ'!B581)/'Market Data - EQ'!B581,LN('Market Data - EQ'!B580/'Market Data - EQ'!B581)))</f>
        <v>1.456780309101313E-2</v>
      </c>
      <c r="H580" s="3">
        <f>IF('Value at Risk'!$C$5=0,'Market Data - EQ'!C580-'Market Data - EQ'!C581,IF('Value at Risk'!$C$6=0,('Market Data - EQ'!C580-'Market Data - EQ'!C581)/'Market Data - EQ'!C581,LN('Market Data - EQ'!C580/'Market Data - EQ'!C581)))</f>
        <v>1.8619956596275092E-2</v>
      </c>
      <c r="I580" s="3">
        <f>IF('Value at Risk'!$C$5=0,'Market Data - EQ'!D580-'Market Data - EQ'!D581,IF('Value at Risk'!$C$6=0,('Market Data - EQ'!D580-'Market Data - EQ'!D581)/'Market Data - EQ'!D581,LN('Market Data - EQ'!D580/'Market Data - EQ'!D581)))</f>
        <v>1.5818995782180788E-2</v>
      </c>
      <c r="J580" s="3">
        <f>IF('Value at Risk'!$C$5=0,'Market Data - EQ'!E580-'Market Data - EQ'!E581,IF('Value at Risk'!$C$6=0,('Market Data - EQ'!E580-'Market Data - EQ'!E581)/'Market Data - EQ'!E581,LN('Market Data - EQ'!E580/'Market Data - EQ'!E581)))</f>
        <v>2.1275271449001897E-2</v>
      </c>
      <c r="K580" s="3">
        <f>IF('Value at Risk'!$C$5=0,'Market Data - EQ'!F580-'Market Data - EQ'!F581,IF('Value at Risk'!$C$6=0,('Market Data - EQ'!F580-'Market Data - EQ'!F581)/'Market Data - EQ'!F581,LN('Market Data - EQ'!F580/'Market Data - EQ'!F581)))</f>
        <v>6.9110214684850154E-3</v>
      </c>
      <c r="L580" s="8">
        <f t="shared" ref="L580:L643" si="9">AVERAGE(G580:K580)</f>
        <v>1.5438609677391186E-2</v>
      </c>
    </row>
    <row r="581" spans="1:12" x14ac:dyDescent="0.25">
      <c r="A581" s="5">
        <v>42969</v>
      </c>
      <c r="B581" s="4">
        <v>873.5</v>
      </c>
      <c r="C581" s="4">
        <v>273.89999399999999</v>
      </c>
      <c r="D581" s="4">
        <v>293.95001200000002</v>
      </c>
      <c r="E581" s="4">
        <v>1626.3000489999999</v>
      </c>
      <c r="F581" s="4">
        <v>499.20001200000002</v>
      </c>
      <c r="G581" s="3">
        <f>IF('Value at Risk'!$C$5=0,'Market Data - EQ'!B581-'Market Data - EQ'!B582,IF('Value at Risk'!$C$6=0,('Market Data - EQ'!B581-'Market Data - EQ'!B582)/'Market Data - EQ'!B582,LN('Market Data - EQ'!B581/'Market Data - EQ'!B582)))</f>
        <v>2.1799266318474871E-3</v>
      </c>
      <c r="H581" s="3">
        <f>IF('Value at Risk'!$C$5=0,'Market Data - EQ'!C581-'Market Data - EQ'!C582,IF('Value at Risk'!$C$6=0,('Market Data - EQ'!C581-'Market Data - EQ'!C582)/'Market Data - EQ'!C582,LN('Market Data - EQ'!C581/'Market Data - EQ'!C582)))</f>
        <v>-2.7307482846695421E-3</v>
      </c>
      <c r="I581" s="3">
        <f>IF('Value at Risk'!$C$5=0,'Market Data - EQ'!D581-'Market Data - EQ'!D582,IF('Value at Risk'!$C$6=0,('Market Data - EQ'!D581-'Market Data - EQ'!D582)/'Market Data - EQ'!D582,LN('Market Data - EQ'!D581/'Market Data - EQ'!D582)))</f>
        <v>1.5332606473595065E-3</v>
      </c>
      <c r="J581" s="3">
        <f>IF('Value at Risk'!$C$5=0,'Market Data - EQ'!E581-'Market Data - EQ'!E582,IF('Value at Risk'!$C$6=0,('Market Data - EQ'!E581-'Market Data - EQ'!E582)/'Market Data - EQ'!E582,LN('Market Data - EQ'!E581/'Market Data - EQ'!E582)))</f>
        <v>6.3115358897820901E-3</v>
      </c>
      <c r="K581" s="3">
        <f>IF('Value at Risk'!$C$5=0,'Market Data - EQ'!F581-'Market Data - EQ'!F582,IF('Value at Risk'!$C$6=0,('Market Data - EQ'!F581-'Market Data - EQ'!F582)/'Market Data - EQ'!F582,LN('Market Data - EQ'!F581/'Market Data - EQ'!F582)))</f>
        <v>8.8925305309425964E-3</v>
      </c>
      <c r="L581" s="8">
        <f t="shared" si="9"/>
        <v>3.2373010830524275E-3</v>
      </c>
    </row>
    <row r="582" spans="1:12" x14ac:dyDescent="0.25">
      <c r="A582" s="5">
        <v>42968</v>
      </c>
      <c r="B582" s="4">
        <v>871.59997599999997</v>
      </c>
      <c r="C582" s="4">
        <v>274.64999399999999</v>
      </c>
      <c r="D582" s="4">
        <v>293.5</v>
      </c>
      <c r="E582" s="4">
        <v>1616.099976</v>
      </c>
      <c r="F582" s="4">
        <v>494.79998799999998</v>
      </c>
      <c r="G582" s="3">
        <f>IF('Value at Risk'!$C$5=0,'Market Data - EQ'!B582-'Market Data - EQ'!B583,IF('Value at Risk'!$C$6=0,('Market Data - EQ'!B582-'Market Data - EQ'!B583)/'Market Data - EQ'!B583,LN('Market Data - EQ'!B582/'Market Data - EQ'!B583)))</f>
        <v>-5.1080511813525456E-3</v>
      </c>
      <c r="H582" s="3">
        <f>IF('Value at Risk'!$C$5=0,'Market Data - EQ'!C582-'Market Data - EQ'!C583,IF('Value at Risk'!$C$6=0,('Market Data - EQ'!C582-'Market Data - EQ'!C583)/'Market Data - EQ'!C583,LN('Market Data - EQ'!C582/'Market Data - EQ'!C583)))</f>
        <v>-1.4531818534690348E-2</v>
      </c>
      <c r="I582" s="3">
        <f>IF('Value at Risk'!$C$5=0,'Market Data - EQ'!D582-'Market Data - EQ'!D583,IF('Value at Risk'!$C$6=0,('Market Data - EQ'!D582-'Market Data - EQ'!D583)/'Market Data - EQ'!D583,LN('Market Data - EQ'!D582/'Market Data - EQ'!D583)))</f>
        <v>1.1939485149708297E-3</v>
      </c>
      <c r="J582" s="3">
        <f>IF('Value at Risk'!$C$5=0,'Market Data - EQ'!E582-'Market Data - EQ'!E583,IF('Value at Risk'!$C$6=0,('Market Data - EQ'!E582-'Market Data - EQ'!E583)/'Market Data - EQ'!E583,LN('Market Data - EQ'!E582/'Market Data - EQ'!E583)))</f>
        <v>-3.053621325913778E-3</v>
      </c>
      <c r="K582" s="3">
        <f>IF('Value at Risk'!$C$5=0,'Market Data - EQ'!F582-'Market Data - EQ'!F583,IF('Value at Risk'!$C$6=0,('Market Data - EQ'!F582-'Market Data - EQ'!F583)/'Market Data - EQ'!F583,LN('Market Data - EQ'!F582/'Market Data - EQ'!F583)))</f>
        <v>8.9722554115691782E-3</v>
      </c>
      <c r="L582" s="8">
        <f t="shared" si="9"/>
        <v>-2.5054574230833323E-3</v>
      </c>
    </row>
    <row r="583" spans="1:12" x14ac:dyDescent="0.25">
      <c r="A583" s="5">
        <v>42965</v>
      </c>
      <c r="B583" s="4">
        <v>876.07501200000002</v>
      </c>
      <c r="C583" s="4">
        <v>278.70001200000002</v>
      </c>
      <c r="D583" s="4">
        <v>293.14999399999999</v>
      </c>
      <c r="E583" s="4">
        <v>1621.0500489999999</v>
      </c>
      <c r="F583" s="4">
        <v>490.39999399999999</v>
      </c>
      <c r="G583" s="3">
        <f>IF('Value at Risk'!$C$5=0,'Market Data - EQ'!B583-'Market Data - EQ'!B584,IF('Value at Risk'!$C$6=0,('Market Data - EQ'!B583-'Market Data - EQ'!B584)/'Market Data - EQ'!B584,LN('Market Data - EQ'!B583/'Market Data - EQ'!B584)))</f>
        <v>-7.5053811146883727E-3</v>
      </c>
      <c r="H583" s="3">
        <f>IF('Value at Risk'!$C$5=0,'Market Data - EQ'!C583-'Market Data - EQ'!C584,IF('Value at Risk'!$C$6=0,('Market Data - EQ'!C583-'Market Data - EQ'!C584)/'Market Data - EQ'!C584,LN('Market Data - EQ'!C583/'Market Data - EQ'!C584)))</f>
        <v>-7.6553105005096288E-3</v>
      </c>
      <c r="I583" s="3">
        <f>IF('Value at Risk'!$C$5=0,'Market Data - EQ'!D583-'Market Data - EQ'!D584,IF('Value at Risk'!$C$6=0,('Market Data - EQ'!D583-'Market Data - EQ'!D584)/'Market Data - EQ'!D584,LN('Market Data - EQ'!D583/'Market Data - EQ'!D584)))</f>
        <v>0</v>
      </c>
      <c r="J583" s="3">
        <f>IF('Value at Risk'!$C$5=0,'Market Data - EQ'!E583-'Market Data - EQ'!E584,IF('Value at Risk'!$C$6=0,('Market Data - EQ'!E583-'Market Data - EQ'!E584)/'Market Data - EQ'!E584,LN('Market Data - EQ'!E583/'Market Data - EQ'!E584)))</f>
        <v>-4.5747319619281884E-3</v>
      </c>
      <c r="K583" s="3">
        <f>IF('Value at Risk'!$C$5=0,'Market Data - EQ'!F583-'Market Data - EQ'!F584,IF('Value at Risk'!$C$6=0,('Market Data - EQ'!F583-'Market Data - EQ'!F584)/'Market Data - EQ'!F584,LN('Market Data - EQ'!F583/'Market Data - EQ'!F584)))</f>
        <v>-1.3577391293300508E-2</v>
      </c>
      <c r="L583" s="8">
        <f t="shared" si="9"/>
        <v>-6.6625629740853396E-3</v>
      </c>
    </row>
    <row r="584" spans="1:12" x14ac:dyDescent="0.25">
      <c r="A584" s="5">
        <v>42964</v>
      </c>
      <c r="B584" s="4">
        <v>882.70001200000002</v>
      </c>
      <c r="C584" s="4">
        <v>280.85000600000001</v>
      </c>
      <c r="D584" s="4">
        <v>293.14999399999999</v>
      </c>
      <c r="E584" s="4">
        <v>1628.5</v>
      </c>
      <c r="F584" s="4">
        <v>497.14999399999999</v>
      </c>
      <c r="G584" s="3">
        <f>IF('Value at Risk'!$C$5=0,'Market Data - EQ'!B584-'Market Data - EQ'!B585,IF('Value at Risk'!$C$6=0,('Market Data - EQ'!B584-'Market Data - EQ'!B585)/'Market Data - EQ'!B585,LN('Market Data - EQ'!B584/'Market Data - EQ'!B585)))</f>
        <v>-8.8982321403508601E-3</v>
      </c>
      <c r="H584" s="3">
        <f>IF('Value at Risk'!$C$5=0,'Market Data - EQ'!C584-'Market Data - EQ'!C585,IF('Value at Risk'!$C$6=0,('Market Data - EQ'!C584-'Market Data - EQ'!C585)/'Market Data - EQ'!C585,LN('Market Data - EQ'!C584/'Market Data - EQ'!C585)))</f>
        <v>-7.9477214846826946E-3</v>
      </c>
      <c r="I584" s="3">
        <f>IF('Value at Risk'!$C$5=0,'Market Data - EQ'!D584-'Market Data - EQ'!D585,IF('Value at Risk'!$C$6=0,('Market Data - EQ'!D584-'Market Data - EQ'!D585)/'Market Data - EQ'!D585,LN('Market Data - EQ'!D584/'Market Data - EQ'!D585)))</f>
        <v>-6.1027900551501677E-3</v>
      </c>
      <c r="J584" s="3">
        <f>IF('Value at Risk'!$C$5=0,'Market Data - EQ'!E584-'Market Data - EQ'!E585,IF('Value at Risk'!$C$6=0,('Market Data - EQ'!E584-'Market Data - EQ'!E585)/'Market Data - EQ'!E585,LN('Market Data - EQ'!E584/'Market Data - EQ'!E585)))</f>
        <v>-1.1352568938972761E-2</v>
      </c>
      <c r="K584" s="3">
        <f>IF('Value at Risk'!$C$5=0,'Market Data - EQ'!F584-'Market Data - EQ'!F585,IF('Value at Risk'!$C$6=0,('Market Data - EQ'!F584-'Market Data - EQ'!F585)/'Market Data - EQ'!F585,LN('Market Data - EQ'!F584/'Market Data - EQ'!F585)))</f>
        <v>-4.7047167167167322E-3</v>
      </c>
      <c r="L584" s="8">
        <f t="shared" si="9"/>
        <v>-7.8012058671746431E-3</v>
      </c>
    </row>
    <row r="585" spans="1:12" x14ac:dyDescent="0.25">
      <c r="A585" s="5">
        <v>42963</v>
      </c>
      <c r="B585" s="4">
        <v>890.625</v>
      </c>
      <c r="C585" s="4">
        <v>283.10000600000001</v>
      </c>
      <c r="D585" s="4">
        <v>294.95001200000002</v>
      </c>
      <c r="E585" s="4">
        <v>1647.1999510000001</v>
      </c>
      <c r="F585" s="4">
        <v>499.5</v>
      </c>
      <c r="G585" s="3">
        <f>IF('Value at Risk'!$C$5=0,'Market Data - EQ'!B585-'Market Data - EQ'!B586,IF('Value at Risk'!$C$6=0,('Market Data - EQ'!B585-'Market Data - EQ'!B586)/'Market Data - EQ'!B586,LN('Market Data - EQ'!B585/'Market Data - EQ'!B586)))</f>
        <v>1.3686574469016411E-2</v>
      </c>
      <c r="H585" s="3">
        <f>IF('Value at Risk'!$C$5=0,'Market Data - EQ'!C585-'Market Data - EQ'!C586,IF('Value at Risk'!$C$6=0,('Market Data - EQ'!C585-'Market Data - EQ'!C586)/'Market Data - EQ'!C586,LN('Market Data - EQ'!C585/'Market Data - EQ'!C586)))</f>
        <v>1.7613205566648187E-2</v>
      </c>
      <c r="I585" s="3">
        <f>IF('Value at Risk'!$C$5=0,'Market Data - EQ'!D585-'Market Data - EQ'!D586,IF('Value at Risk'!$C$6=0,('Market Data - EQ'!D585-'Market Data - EQ'!D586)/'Market Data - EQ'!D586,LN('Market Data - EQ'!D585/'Market Data - EQ'!D586)))</f>
        <v>1.079514780514669E-2</v>
      </c>
      <c r="J585" s="3">
        <f>IF('Value at Risk'!$C$5=0,'Market Data - EQ'!E585-'Market Data - EQ'!E586,IF('Value at Risk'!$C$6=0,('Market Data - EQ'!E585-'Market Data - EQ'!E586)/'Market Data - EQ'!E586,LN('Market Data - EQ'!E585/'Market Data - EQ'!E586)))</f>
        <v>1.3848710948843993E-2</v>
      </c>
      <c r="K585" s="3">
        <f>IF('Value at Risk'!$C$5=0,'Market Data - EQ'!F585-'Market Data - EQ'!F586,IF('Value at Risk'!$C$6=0,('Market Data - EQ'!F585-'Market Data - EQ'!F586)/'Market Data - EQ'!F586,LN('Market Data - EQ'!F585/'Market Data - EQ'!F586)))</f>
        <v>1.57600406710727E-2</v>
      </c>
      <c r="L585" s="8">
        <f t="shared" si="9"/>
        <v>1.4340735892145596E-2</v>
      </c>
    </row>
    <row r="586" spans="1:12" x14ac:dyDescent="0.25">
      <c r="A586" s="5">
        <v>42961</v>
      </c>
      <c r="B586" s="4">
        <v>878.59997599999997</v>
      </c>
      <c r="C586" s="4">
        <v>278.20001200000002</v>
      </c>
      <c r="D586" s="4">
        <v>291.79998799999998</v>
      </c>
      <c r="E586" s="4">
        <v>1624.6999510000001</v>
      </c>
      <c r="F586" s="4">
        <v>491.75</v>
      </c>
      <c r="G586" s="3">
        <f>IF('Value at Risk'!$C$5=0,'Market Data - EQ'!B586-'Market Data - EQ'!B587,IF('Value at Risk'!$C$6=0,('Market Data - EQ'!B586-'Market Data - EQ'!B587)/'Market Data - EQ'!B587,LN('Market Data - EQ'!B586/'Market Data - EQ'!B587)))</f>
        <v>4.6596173787703289E-3</v>
      </c>
      <c r="H586" s="3">
        <f>IF('Value at Risk'!$C$5=0,'Market Data - EQ'!C586-'Market Data - EQ'!C587,IF('Value at Risk'!$C$6=0,('Market Data - EQ'!C586-'Market Data - EQ'!C587)/'Market Data - EQ'!C587,LN('Market Data - EQ'!C586/'Market Data - EQ'!C587)))</f>
        <v>-6.9604927423270882E-3</v>
      </c>
      <c r="I586" s="3">
        <f>IF('Value at Risk'!$C$5=0,'Market Data - EQ'!D586-'Market Data - EQ'!D587,IF('Value at Risk'!$C$6=0,('Market Data - EQ'!D586-'Market Data - EQ'!D587)/'Market Data - EQ'!D587,LN('Market Data - EQ'!D586/'Market Data - EQ'!D587)))</f>
        <v>1.6901814940505976E-2</v>
      </c>
      <c r="J586" s="3">
        <f>IF('Value at Risk'!$C$5=0,'Market Data - EQ'!E586-'Market Data - EQ'!E587,IF('Value at Risk'!$C$6=0,('Market Data - EQ'!E586-'Market Data - EQ'!E587)/'Market Data - EQ'!E587,LN('Market Data - EQ'!E586/'Market Data - EQ'!E587)))</f>
        <v>-3.9992925191387467E-4</v>
      </c>
      <c r="K586" s="3">
        <f>IF('Value at Risk'!$C$5=0,'Market Data - EQ'!F586-'Market Data - EQ'!F587,IF('Value at Risk'!$C$6=0,('Market Data - EQ'!F586-'Market Data - EQ'!F587)/'Market Data - EQ'!F587,LN('Market Data - EQ'!F586/'Market Data - EQ'!F587)))</f>
        <v>4.1862118639277978E-3</v>
      </c>
      <c r="L586" s="8">
        <f t="shared" si="9"/>
        <v>3.6774444377926279E-3</v>
      </c>
    </row>
    <row r="587" spans="1:12" x14ac:dyDescent="0.25">
      <c r="A587" s="5">
        <v>42958</v>
      </c>
      <c r="B587" s="4">
        <v>874.52502400000003</v>
      </c>
      <c r="C587" s="4">
        <v>280.14999399999999</v>
      </c>
      <c r="D587" s="4">
        <v>286.95001200000002</v>
      </c>
      <c r="E587" s="4">
        <v>1625.349976</v>
      </c>
      <c r="F587" s="4">
        <v>489.70001200000002</v>
      </c>
      <c r="G587" s="3">
        <f>IF('Value at Risk'!$C$5=0,'Market Data - EQ'!B587-'Market Data - EQ'!B588,IF('Value at Risk'!$C$6=0,('Market Data - EQ'!B587-'Market Data - EQ'!B588)/'Market Data - EQ'!B588,LN('Market Data - EQ'!B587/'Market Data - EQ'!B588)))</f>
        <v>-6.4755626747859283E-3</v>
      </c>
      <c r="H587" s="3">
        <f>IF('Value at Risk'!$C$5=0,'Market Data - EQ'!C587-'Market Data - EQ'!C588,IF('Value at Risk'!$C$6=0,('Market Data - EQ'!C587-'Market Data - EQ'!C588)/'Market Data - EQ'!C588,LN('Market Data - EQ'!C587/'Market Data - EQ'!C588)))</f>
        <v>-5.5780307821490828E-2</v>
      </c>
      <c r="I587" s="3">
        <f>IF('Value at Risk'!$C$5=0,'Market Data - EQ'!D587-'Market Data - EQ'!D588,IF('Value at Risk'!$C$6=0,('Market Data - EQ'!D587-'Market Data - EQ'!D588)/'Market Data - EQ'!D588,LN('Market Data - EQ'!D587/'Market Data - EQ'!D588)))</f>
        <v>-6.233724675324623E-3</v>
      </c>
      <c r="J587" s="3">
        <f>IF('Value at Risk'!$C$5=0,'Market Data - EQ'!E587-'Market Data - EQ'!E588,IF('Value at Risk'!$C$6=0,('Market Data - EQ'!E587-'Market Data - EQ'!E588)/'Market Data - EQ'!E588,LN('Market Data - EQ'!E587/'Market Data - EQ'!E588)))</f>
        <v>-2.4856069352801611E-3</v>
      </c>
      <c r="K587" s="3">
        <f>IF('Value at Risk'!$C$5=0,'Market Data - EQ'!F587-'Market Data - EQ'!F588,IF('Value at Risk'!$C$6=0,('Market Data - EQ'!F587-'Market Data - EQ'!F588)/'Market Data - EQ'!F588,LN('Market Data - EQ'!F587/'Market Data - EQ'!F588)))</f>
        <v>8.6509001029866431E-3</v>
      </c>
      <c r="L587" s="8">
        <f t="shared" si="9"/>
        <v>-1.2464860400778977E-2</v>
      </c>
    </row>
    <row r="588" spans="1:12" x14ac:dyDescent="0.25">
      <c r="A588" s="5">
        <v>42957</v>
      </c>
      <c r="B588" s="4">
        <v>880.22497599999997</v>
      </c>
      <c r="C588" s="4">
        <v>296.70001200000002</v>
      </c>
      <c r="D588" s="4">
        <v>288.75</v>
      </c>
      <c r="E588" s="4">
        <v>1629.400024</v>
      </c>
      <c r="F588" s="4">
        <v>485.5</v>
      </c>
      <c r="G588" s="3">
        <f>IF('Value at Risk'!$C$5=0,'Market Data - EQ'!B588-'Market Data - EQ'!B589,IF('Value at Risk'!$C$6=0,('Market Data - EQ'!B588-'Market Data - EQ'!B589)/'Market Data - EQ'!B589,LN('Market Data - EQ'!B588/'Market Data - EQ'!B589)))</f>
        <v>-2.2669954426681295E-3</v>
      </c>
      <c r="H588" s="3">
        <f>IF('Value at Risk'!$C$5=0,'Market Data - EQ'!C588-'Market Data - EQ'!C589,IF('Value at Risk'!$C$6=0,('Market Data - EQ'!C588-'Market Data - EQ'!C589)/'Market Data - EQ'!C589,LN('Market Data - EQ'!C588/'Market Data - EQ'!C589)))</f>
        <v>-1.8524565736998871E-2</v>
      </c>
      <c r="I588" s="3">
        <f>IF('Value at Risk'!$C$5=0,'Market Data - EQ'!D588-'Market Data - EQ'!D589,IF('Value at Risk'!$C$6=0,('Market Data - EQ'!D588-'Market Data - EQ'!D589)/'Market Data - EQ'!D589,LN('Market Data - EQ'!D588/'Market Data - EQ'!D589)))</f>
        <v>-6.3661595382073308E-3</v>
      </c>
      <c r="J588" s="3">
        <f>IF('Value at Risk'!$C$5=0,'Market Data - EQ'!E588-'Market Data - EQ'!E589,IF('Value at Risk'!$C$6=0,('Market Data - EQ'!E588-'Market Data - EQ'!E589)/'Market Data - EQ'!E589,LN('Market Data - EQ'!E588/'Market Data - EQ'!E589)))</f>
        <v>-4.7946104748816431E-3</v>
      </c>
      <c r="K588" s="3">
        <f>IF('Value at Risk'!$C$5=0,'Market Data - EQ'!F588-'Market Data - EQ'!F589,IF('Value at Risk'!$C$6=0,('Market Data - EQ'!F588-'Market Data - EQ'!F589)/'Market Data - EQ'!F589,LN('Market Data - EQ'!F588/'Market Data - EQ'!F589)))</f>
        <v>-2.9777430213925433E-3</v>
      </c>
      <c r="L588" s="8">
        <f t="shared" si="9"/>
        <v>-6.9860148428297049E-3</v>
      </c>
    </row>
    <row r="589" spans="1:12" x14ac:dyDescent="0.25">
      <c r="A589" s="5">
        <v>42956</v>
      </c>
      <c r="B589" s="4">
        <v>882.22497599999997</v>
      </c>
      <c r="C589" s="4">
        <v>302.29998799999998</v>
      </c>
      <c r="D589" s="4">
        <v>290.60000600000001</v>
      </c>
      <c r="E589" s="4">
        <v>1637.25</v>
      </c>
      <c r="F589" s="4">
        <v>486.95001200000002</v>
      </c>
      <c r="G589" s="3">
        <f>IF('Value at Risk'!$C$5=0,'Market Data - EQ'!B589-'Market Data - EQ'!B590,IF('Value at Risk'!$C$6=0,('Market Data - EQ'!B589-'Market Data - EQ'!B590)/'Market Data - EQ'!B590,LN('Market Data - EQ'!B589/'Market Data - EQ'!B590)))</f>
        <v>-7.565145294131618E-3</v>
      </c>
      <c r="H589" s="3">
        <f>IF('Value at Risk'!$C$5=0,'Market Data - EQ'!C589-'Market Data - EQ'!C590,IF('Value at Risk'!$C$6=0,('Market Data - EQ'!C589-'Market Data - EQ'!C590)/'Market Data - EQ'!C590,LN('Market Data - EQ'!C589/'Market Data - EQ'!C590)))</f>
        <v>-4.4459279653402779E-3</v>
      </c>
      <c r="I589" s="3">
        <f>IF('Value at Risk'!$C$5=0,'Market Data - EQ'!D589-'Market Data - EQ'!D590,IF('Value at Risk'!$C$6=0,('Market Data - EQ'!D589-'Market Data - EQ'!D590)/'Market Data - EQ'!D590,LN('Market Data - EQ'!D589/'Market Data - EQ'!D590)))</f>
        <v>-1.6582043993231786E-2</v>
      </c>
      <c r="J589" s="3">
        <f>IF('Value at Risk'!$C$5=0,'Market Data - EQ'!E589-'Market Data - EQ'!E590,IF('Value at Risk'!$C$6=0,('Market Data - EQ'!E589-'Market Data - EQ'!E590)/'Market Data - EQ'!E590,LN('Market Data - EQ'!E589/'Market Data - EQ'!E590)))</f>
        <v>-8.5437645592102978E-4</v>
      </c>
      <c r="K589" s="3">
        <f>IF('Value at Risk'!$C$5=0,'Market Data - EQ'!F589-'Market Data - EQ'!F590,IF('Value at Risk'!$C$6=0,('Market Data - EQ'!F589-'Market Data - EQ'!F590)/'Market Data - EQ'!F590,LN('Market Data - EQ'!F589/'Market Data - EQ'!F590)))</f>
        <v>-2.5027529681989475E-2</v>
      </c>
      <c r="L589" s="8">
        <f t="shared" si="9"/>
        <v>-1.0895004678122839E-2</v>
      </c>
    </row>
    <row r="590" spans="1:12" x14ac:dyDescent="0.25">
      <c r="A590" s="5">
        <v>42955</v>
      </c>
      <c r="B590" s="4">
        <v>888.95001200000002</v>
      </c>
      <c r="C590" s="4">
        <v>303.64999399999999</v>
      </c>
      <c r="D590" s="4">
        <v>295.5</v>
      </c>
      <c r="E590" s="4">
        <v>1638.650024</v>
      </c>
      <c r="F590" s="4">
        <v>499.45001200000002</v>
      </c>
      <c r="G590" s="3">
        <f>IF('Value at Risk'!$C$5=0,'Market Data - EQ'!B590-'Market Data - EQ'!B591,IF('Value at Risk'!$C$6=0,('Market Data - EQ'!B590-'Market Data - EQ'!B591)/'Market Data - EQ'!B591,LN('Market Data - EQ'!B590/'Market Data - EQ'!B591)))</f>
        <v>-5.9545574427224699E-3</v>
      </c>
      <c r="H590" s="3">
        <f>IF('Value at Risk'!$C$5=0,'Market Data - EQ'!C590-'Market Data - EQ'!C591,IF('Value at Risk'!$C$6=0,('Market Data - EQ'!C590-'Market Data - EQ'!C591)/'Market Data - EQ'!C591,LN('Market Data - EQ'!C590/'Market Data - EQ'!C591)))</f>
        <v>-2.4260982354975046E-2</v>
      </c>
      <c r="I590" s="3">
        <f>IF('Value at Risk'!$C$5=0,'Market Data - EQ'!D590-'Market Data - EQ'!D591,IF('Value at Risk'!$C$6=0,('Market Data - EQ'!D590-'Market Data - EQ'!D591)/'Market Data - EQ'!D591,LN('Market Data - EQ'!D590/'Market Data - EQ'!D591)))</f>
        <v>-1.5492234192748285E-2</v>
      </c>
      <c r="J590" s="3">
        <f>IF('Value at Risk'!$C$5=0,'Market Data - EQ'!E590-'Market Data - EQ'!E591,IF('Value at Risk'!$C$6=0,('Market Data - EQ'!E590-'Market Data - EQ'!E591)/'Market Data - EQ'!E591,LN('Market Data - EQ'!E590/'Market Data - EQ'!E591)))</f>
        <v>-7.1796279915177039E-3</v>
      </c>
      <c r="K590" s="3">
        <f>IF('Value at Risk'!$C$5=0,'Market Data - EQ'!F590-'Market Data - EQ'!F591,IF('Value at Risk'!$C$6=0,('Market Data - EQ'!F590-'Market Data - EQ'!F591)/'Market Data - EQ'!F591,LN('Market Data - EQ'!F590/'Market Data - EQ'!F591)))</f>
        <v>-1.2554322164198963E-2</v>
      </c>
      <c r="L590" s="8">
        <f t="shared" si="9"/>
        <v>-1.3088344829232493E-2</v>
      </c>
    </row>
    <row r="591" spans="1:12" x14ac:dyDescent="0.25">
      <c r="A591" s="5">
        <v>42954</v>
      </c>
      <c r="B591" s="4">
        <v>894.27502400000003</v>
      </c>
      <c r="C591" s="4">
        <v>311.20001200000002</v>
      </c>
      <c r="D591" s="4">
        <v>300.14999399999999</v>
      </c>
      <c r="E591" s="4">
        <v>1650.5</v>
      </c>
      <c r="F591" s="4">
        <v>505.79998799999998</v>
      </c>
      <c r="G591" s="3">
        <f>IF('Value at Risk'!$C$5=0,'Market Data - EQ'!B591-'Market Data - EQ'!B592,IF('Value at Risk'!$C$6=0,('Market Data - EQ'!B591-'Market Data - EQ'!B592)/'Market Data - EQ'!B592,LN('Market Data - EQ'!B591/'Market Data - EQ'!B592)))</f>
        <v>-9.4956123446442631E-4</v>
      </c>
      <c r="H591" s="3">
        <f>IF('Value at Risk'!$C$5=0,'Market Data - EQ'!C591-'Market Data - EQ'!C592,IF('Value at Risk'!$C$6=0,('Market Data - EQ'!C591-'Market Data - EQ'!C592)/'Market Data - EQ'!C592,LN('Market Data - EQ'!C591/'Market Data - EQ'!C592)))</f>
        <v>1.9492258804258852E-2</v>
      </c>
      <c r="I591" s="3">
        <f>IF('Value at Risk'!$C$5=0,'Market Data - EQ'!D591-'Market Data - EQ'!D592,IF('Value at Risk'!$C$6=0,('Market Data - EQ'!D591-'Market Data - EQ'!D592)/'Market Data - EQ'!D592,LN('Market Data - EQ'!D591/'Market Data - EQ'!D592)))</f>
        <v>1.3164536708860733E-2</v>
      </c>
      <c r="J591" s="3">
        <f>IF('Value at Risk'!$C$5=0,'Market Data - EQ'!E591-'Market Data - EQ'!E592,IF('Value at Risk'!$C$6=0,('Market Data - EQ'!E591-'Market Data - EQ'!E592)/'Market Data - EQ'!E592,LN('Market Data - EQ'!E591/'Market Data - EQ'!E592)))</f>
        <v>-8.5300362936095598E-3</v>
      </c>
      <c r="K591" s="3">
        <f>IF('Value at Risk'!$C$5=0,'Market Data - EQ'!F591-'Market Data - EQ'!F592,IF('Value at Risk'!$C$6=0,('Market Data - EQ'!F591-'Market Data - EQ'!F592)/'Market Data - EQ'!F592,LN('Market Data - EQ'!F591/'Market Data - EQ'!F592)))</f>
        <v>-4.5267033513871338E-3</v>
      </c>
      <c r="L591" s="8">
        <f t="shared" si="9"/>
        <v>3.7300989267316938E-3</v>
      </c>
    </row>
    <row r="592" spans="1:12" x14ac:dyDescent="0.25">
      <c r="A592" s="5">
        <v>42951</v>
      </c>
      <c r="B592" s="4">
        <v>895.125</v>
      </c>
      <c r="C592" s="4">
        <v>305.25</v>
      </c>
      <c r="D592" s="4">
        <v>296.25</v>
      </c>
      <c r="E592" s="4">
        <v>1664.6999510000001</v>
      </c>
      <c r="F592" s="4">
        <v>508.10000600000001</v>
      </c>
      <c r="G592" s="3">
        <f>IF('Value at Risk'!$C$5=0,'Market Data - EQ'!B592-'Market Data - EQ'!B593,IF('Value at Risk'!$C$6=0,('Market Data - EQ'!B592-'Market Data - EQ'!B593)/'Market Data - EQ'!B593,LN('Market Data - EQ'!B592/'Market Data - EQ'!B593)))</f>
        <v>5.7867065242068454E-3</v>
      </c>
      <c r="H592" s="3">
        <f>IF('Value at Risk'!$C$5=0,'Market Data - EQ'!C592-'Market Data - EQ'!C593,IF('Value at Risk'!$C$6=0,('Market Data - EQ'!C592-'Market Data - EQ'!C593)/'Market Data - EQ'!C593,LN('Market Data - EQ'!C592/'Market Data - EQ'!C593)))</f>
        <v>1.5638037556667664E-2</v>
      </c>
      <c r="I592" s="3">
        <f>IF('Value at Risk'!$C$5=0,'Market Data - EQ'!D592-'Market Data - EQ'!D593,IF('Value at Risk'!$C$6=0,('Market Data - EQ'!D592-'Market Data - EQ'!D593)/'Market Data - EQ'!D593,LN('Market Data - EQ'!D592/'Market Data - EQ'!D593)))</f>
        <v>1.8599525792375848E-3</v>
      </c>
      <c r="J592" s="3">
        <f>IF('Value at Risk'!$C$5=0,'Market Data - EQ'!E592-'Market Data - EQ'!E593,IF('Value at Risk'!$C$6=0,('Market Data - EQ'!E592-'Market Data - EQ'!E593)/'Market Data - EQ'!E593,LN('Market Data - EQ'!E592/'Market Data - EQ'!E593)))</f>
        <v>1.1852662643314167E-2</v>
      </c>
      <c r="K592" s="3">
        <f>IF('Value at Risk'!$C$5=0,'Market Data - EQ'!F592-'Market Data - EQ'!F593,IF('Value at Risk'!$C$6=0,('Market Data - EQ'!F592-'Market Data - EQ'!F593)/'Market Data - EQ'!F593,LN('Market Data - EQ'!F592/'Market Data - EQ'!F593)))</f>
        <v>4.1502094861660226E-3</v>
      </c>
      <c r="L592" s="8">
        <f t="shared" si="9"/>
        <v>7.8575137579184572E-3</v>
      </c>
    </row>
    <row r="593" spans="1:12" x14ac:dyDescent="0.25">
      <c r="A593" s="5">
        <v>42950</v>
      </c>
      <c r="B593" s="4">
        <v>889.97497599999997</v>
      </c>
      <c r="C593" s="4">
        <v>300.54998799999998</v>
      </c>
      <c r="D593" s="4">
        <v>295.70001200000002</v>
      </c>
      <c r="E593" s="4">
        <v>1645.1999510000001</v>
      </c>
      <c r="F593" s="4">
        <v>506</v>
      </c>
      <c r="G593" s="3">
        <f>IF('Value at Risk'!$C$5=0,'Market Data - EQ'!B593-'Market Data - EQ'!B594,IF('Value at Risk'!$C$6=0,('Market Data - EQ'!B593-'Market Data - EQ'!B594)/'Market Data - EQ'!B594,LN('Market Data - EQ'!B593/'Market Data - EQ'!B594)))</f>
        <v>-6.5303334039974823E-3</v>
      </c>
      <c r="H593" s="3">
        <f>IF('Value at Risk'!$C$5=0,'Market Data - EQ'!C593-'Market Data - EQ'!C594,IF('Value at Risk'!$C$6=0,('Market Data - EQ'!C593-'Market Data - EQ'!C594)/'Market Data - EQ'!C594,LN('Market Data - EQ'!C593/'Market Data - EQ'!C594)))</f>
        <v>-2.3236996168853025E-2</v>
      </c>
      <c r="I593" s="3">
        <f>IF('Value at Risk'!$C$5=0,'Market Data - EQ'!D593-'Market Data - EQ'!D594,IF('Value at Risk'!$C$6=0,('Market Data - EQ'!D593-'Market Data - EQ'!D594)/'Market Data - EQ'!D594,LN('Market Data - EQ'!D593/'Market Data - EQ'!D594)))</f>
        <v>-2.0374337842484564E-2</v>
      </c>
      <c r="J593" s="3">
        <f>IF('Value at Risk'!$C$5=0,'Market Data - EQ'!E593-'Market Data - EQ'!E594,IF('Value at Risk'!$C$6=0,('Market Data - EQ'!E593-'Market Data - EQ'!E594)/'Market Data - EQ'!E594,LN('Market Data - EQ'!E593/'Market Data - EQ'!E594)))</f>
        <v>-8.168831348907276E-3</v>
      </c>
      <c r="K593" s="3">
        <f>IF('Value at Risk'!$C$5=0,'Market Data - EQ'!F593-'Market Data - EQ'!F594,IF('Value at Risk'!$C$6=0,('Market Data - EQ'!F593-'Market Data - EQ'!F594)/'Market Data - EQ'!F594,LN('Market Data - EQ'!F593/'Market Data - EQ'!F594)))</f>
        <v>-2.1087296370487361E-2</v>
      </c>
      <c r="L593" s="8">
        <f t="shared" si="9"/>
        <v>-1.5879559026945943E-2</v>
      </c>
    </row>
    <row r="594" spans="1:12" x14ac:dyDescent="0.25">
      <c r="A594" s="5">
        <v>42949</v>
      </c>
      <c r="B594" s="4">
        <v>895.82501200000002</v>
      </c>
      <c r="C594" s="4">
        <v>307.70001200000002</v>
      </c>
      <c r="D594" s="4">
        <v>301.85000600000001</v>
      </c>
      <c r="E594" s="4">
        <v>1658.75</v>
      </c>
      <c r="F594" s="4">
        <v>516.90002400000003</v>
      </c>
      <c r="G594" s="3">
        <f>IF('Value at Risk'!$C$5=0,'Market Data - EQ'!B594-'Market Data - EQ'!B595,IF('Value at Risk'!$C$6=0,('Market Data - EQ'!B594-'Market Data - EQ'!B595)/'Market Data - EQ'!B595,LN('Market Data - EQ'!B594/'Market Data - EQ'!B595)))</f>
        <v>-3.088097122317255E-3</v>
      </c>
      <c r="H594" s="3">
        <f>IF('Value at Risk'!$C$5=0,'Market Data - EQ'!C594-'Market Data - EQ'!C595,IF('Value at Risk'!$C$6=0,('Market Data - EQ'!C594-'Market Data - EQ'!C595)/'Market Data - EQ'!C595,LN('Market Data - EQ'!C594/'Market Data - EQ'!C595)))</f>
        <v>-4.2070809061488185E-3</v>
      </c>
      <c r="I594" s="3">
        <f>IF('Value at Risk'!$C$5=0,'Market Data - EQ'!D594-'Market Data - EQ'!D595,IF('Value at Risk'!$C$6=0,('Market Data - EQ'!D594-'Market Data - EQ'!D595)/'Market Data - EQ'!D595,LN('Market Data - EQ'!D594/'Market Data - EQ'!D595)))</f>
        <v>-2.4785194485422448E-3</v>
      </c>
      <c r="J594" s="3">
        <f>IF('Value at Risk'!$C$5=0,'Market Data - EQ'!E594-'Market Data - EQ'!E595,IF('Value at Risk'!$C$6=0,('Market Data - EQ'!E594-'Market Data - EQ'!E595)/'Market Data - EQ'!E595,LN('Market Data - EQ'!E594/'Market Data - EQ'!E595)))</f>
        <v>-4.1723907092797025E-3</v>
      </c>
      <c r="K594" s="3">
        <f>IF('Value at Risk'!$C$5=0,'Market Data - EQ'!F594-'Market Data - EQ'!F595,IF('Value at Risk'!$C$6=0,('Market Data - EQ'!F594-'Market Data - EQ'!F595)/'Market Data - EQ'!F595,LN('Market Data - EQ'!F594/'Market Data - EQ'!F595)))</f>
        <v>6.7764206394685953E-4</v>
      </c>
      <c r="L594" s="8">
        <f t="shared" si="9"/>
        <v>-2.6536892244682321E-3</v>
      </c>
    </row>
    <row r="595" spans="1:12" x14ac:dyDescent="0.25">
      <c r="A595" s="5">
        <v>42948</v>
      </c>
      <c r="B595" s="4">
        <v>898.59997599999997</v>
      </c>
      <c r="C595" s="4">
        <v>309</v>
      </c>
      <c r="D595" s="4">
        <v>302.60000600000001</v>
      </c>
      <c r="E595" s="4">
        <v>1665.6999510000001</v>
      </c>
      <c r="F595" s="4">
        <v>516.54998799999998</v>
      </c>
      <c r="G595" s="3">
        <f>IF('Value at Risk'!$C$5=0,'Market Data - EQ'!B595-'Market Data - EQ'!B596,IF('Value at Risk'!$C$6=0,('Market Data - EQ'!B595-'Market Data - EQ'!B596)/'Market Data - EQ'!B596,LN('Market Data - EQ'!B595/'Market Data - EQ'!B596)))</f>
        <v>7.1732390875600596E-3</v>
      </c>
      <c r="H595" s="3">
        <f>IF('Value at Risk'!$C$5=0,'Market Data - EQ'!C595-'Market Data - EQ'!C596,IF('Value at Risk'!$C$6=0,('Market Data - EQ'!C595-'Market Data - EQ'!C596)/'Market Data - EQ'!C596,LN('Market Data - EQ'!C595/'Market Data - EQ'!C596)))</f>
        <v>-1.12E-2</v>
      </c>
      <c r="I595" s="3">
        <f>IF('Value at Risk'!$C$5=0,'Market Data - EQ'!D595-'Market Data - EQ'!D596,IF('Value at Risk'!$C$6=0,('Market Data - EQ'!D595-'Market Data - EQ'!D596)/'Market Data - EQ'!D596,LN('Market Data - EQ'!D595/'Market Data - EQ'!D596)))</f>
        <v>0</v>
      </c>
      <c r="J595" s="3">
        <f>IF('Value at Risk'!$C$5=0,'Market Data - EQ'!E595-'Market Data - EQ'!E596,IF('Value at Risk'!$C$6=0,('Market Data - EQ'!E595-'Market Data - EQ'!E596)/'Market Data - EQ'!E596,LN('Market Data - EQ'!E595/'Market Data - EQ'!E596)))</f>
        <v>1.2122102992556619E-2</v>
      </c>
      <c r="K595" s="3">
        <f>IF('Value at Risk'!$C$5=0,'Market Data - EQ'!F595-'Market Data - EQ'!F596,IF('Value at Risk'!$C$6=0,('Market Data - EQ'!F595-'Market Data - EQ'!F596)/'Market Data - EQ'!F596,LN('Market Data - EQ'!F595/'Market Data - EQ'!F596)))</f>
        <v>-6.2524049154075783E-3</v>
      </c>
      <c r="L595" s="8">
        <f t="shared" si="9"/>
        <v>3.6858743294182017E-4</v>
      </c>
    </row>
    <row r="596" spans="1:12" x14ac:dyDescent="0.25">
      <c r="A596" s="5">
        <v>42947</v>
      </c>
      <c r="B596" s="4">
        <v>892.20001200000002</v>
      </c>
      <c r="C596" s="4">
        <v>312.5</v>
      </c>
      <c r="D596" s="4">
        <v>302.60000600000001</v>
      </c>
      <c r="E596" s="4">
        <v>1645.75</v>
      </c>
      <c r="F596" s="4">
        <v>519.79998799999998</v>
      </c>
      <c r="G596" s="3">
        <f>IF('Value at Risk'!$C$5=0,'Market Data - EQ'!B596-'Market Data - EQ'!B597,IF('Value at Risk'!$C$6=0,('Market Data - EQ'!B596-'Market Data - EQ'!B597)/'Market Data - EQ'!B597,LN('Market Data - EQ'!B596/'Market Data - EQ'!B597)))</f>
        <v>3.3174157998313355E-3</v>
      </c>
      <c r="H596" s="3">
        <f>IF('Value at Risk'!$C$5=0,'Market Data - EQ'!C596-'Market Data - EQ'!C597,IF('Value at Risk'!$C$6=0,('Market Data - EQ'!C596-'Market Data - EQ'!C597)/'Market Data - EQ'!C597,LN('Market Data - EQ'!C596/'Market Data - EQ'!C597)))</f>
        <v>4.4801048917397855E-2</v>
      </c>
      <c r="I596" s="3">
        <f>IF('Value at Risk'!$C$5=0,'Market Data - EQ'!D596-'Market Data - EQ'!D597,IF('Value at Risk'!$C$6=0,('Market Data - EQ'!D596-'Market Data - EQ'!D597)/'Market Data - EQ'!D597,LN('Market Data - EQ'!D596/'Market Data - EQ'!D597)))</f>
        <v>2.1779544591177723E-2</v>
      </c>
      <c r="J596" s="3">
        <f>IF('Value at Risk'!$C$5=0,'Market Data - EQ'!E596-'Market Data - EQ'!E597,IF('Value at Risk'!$C$6=0,('Market Data - EQ'!E596-'Market Data - EQ'!E597)/'Market Data - EQ'!E597,LN('Market Data - EQ'!E596/'Market Data - EQ'!E597)))</f>
        <v>1.0685678297943507E-2</v>
      </c>
      <c r="K596" s="3">
        <f>IF('Value at Risk'!$C$5=0,'Market Data - EQ'!F596-'Market Data - EQ'!F597,IF('Value at Risk'!$C$6=0,('Market Data - EQ'!F596-'Market Data - EQ'!F597)/'Market Data - EQ'!F597,LN('Market Data - EQ'!F596/'Market Data - EQ'!F597)))</f>
        <v>9.1244655775328861E-3</v>
      </c>
      <c r="L596" s="8">
        <f t="shared" si="9"/>
        <v>1.7941630636776663E-2</v>
      </c>
    </row>
    <row r="597" spans="1:12" x14ac:dyDescent="0.25">
      <c r="A597" s="5">
        <v>42944</v>
      </c>
      <c r="B597" s="4">
        <v>889.25</v>
      </c>
      <c r="C597" s="4">
        <v>299.10000600000001</v>
      </c>
      <c r="D597" s="4">
        <v>296.14999399999999</v>
      </c>
      <c r="E597" s="4">
        <v>1628.349976</v>
      </c>
      <c r="F597" s="4">
        <v>515.09997599999997</v>
      </c>
      <c r="G597" s="3">
        <f>IF('Value at Risk'!$C$5=0,'Market Data - EQ'!B597-'Market Data - EQ'!B598,IF('Value at Risk'!$C$6=0,('Market Data - EQ'!B597-'Market Data - EQ'!B598)/'Market Data - EQ'!B598,LN('Market Data - EQ'!B597/'Market Data - EQ'!B598)))</f>
        <v>-6.2302818151444509E-3</v>
      </c>
      <c r="H597" s="3">
        <f>IF('Value at Risk'!$C$5=0,'Market Data - EQ'!C597-'Market Data - EQ'!C598,IF('Value at Risk'!$C$6=0,('Market Data - EQ'!C597-'Market Data - EQ'!C598)/'Market Data - EQ'!C598,LN('Market Data - EQ'!C597/'Market Data - EQ'!C598)))</f>
        <v>2.513825992683238E-3</v>
      </c>
      <c r="I597" s="3">
        <f>IF('Value at Risk'!$C$5=0,'Market Data - EQ'!D597-'Market Data - EQ'!D598,IF('Value at Risk'!$C$6=0,('Market Data - EQ'!D597-'Market Data - EQ'!D598)/'Market Data - EQ'!D598,LN('Market Data - EQ'!D597/'Market Data - EQ'!D598)))</f>
        <v>-3.5970109272001012E-2</v>
      </c>
      <c r="J597" s="3">
        <f>IF('Value at Risk'!$C$5=0,'Market Data - EQ'!E597-'Market Data - EQ'!E598,IF('Value at Risk'!$C$6=0,('Market Data - EQ'!E597-'Market Data - EQ'!E598)/'Market Data - EQ'!E598,LN('Market Data - EQ'!E597/'Market Data - EQ'!E598)))</f>
        <v>1.3474840144561573E-2</v>
      </c>
      <c r="K597" s="3">
        <f>IF('Value at Risk'!$C$5=0,'Market Data - EQ'!F597-'Market Data - EQ'!F598,IF('Value at Risk'!$C$6=0,('Market Data - EQ'!F597-'Market Data - EQ'!F598)/'Market Data - EQ'!F598,LN('Market Data - EQ'!F597/'Market Data - EQ'!F598)))</f>
        <v>-1.8202701921538576E-2</v>
      </c>
      <c r="L597" s="8">
        <f t="shared" si="9"/>
        <v>-8.8828853742878456E-3</v>
      </c>
    </row>
    <row r="598" spans="1:12" x14ac:dyDescent="0.25">
      <c r="A598" s="5">
        <v>42943</v>
      </c>
      <c r="B598" s="4">
        <v>894.82501200000002</v>
      </c>
      <c r="C598" s="4">
        <v>298.35000600000001</v>
      </c>
      <c r="D598" s="4">
        <v>307.20001200000002</v>
      </c>
      <c r="E598" s="4">
        <v>1606.6999510000001</v>
      </c>
      <c r="F598" s="4">
        <v>524.65002400000003</v>
      </c>
      <c r="G598" s="3">
        <f>IF('Value at Risk'!$C$5=0,'Market Data - EQ'!B598-'Market Data - EQ'!B599,IF('Value at Risk'!$C$6=0,('Market Data - EQ'!B598-'Market Data - EQ'!B599)/'Market Data - EQ'!B599,LN('Market Data - EQ'!B598/'Market Data - EQ'!B599)))</f>
        <v>2.4090855680031414E-2</v>
      </c>
      <c r="H598" s="3">
        <f>IF('Value at Risk'!$C$5=0,'Market Data - EQ'!C598-'Market Data - EQ'!C599,IF('Value at Risk'!$C$6=0,('Market Data - EQ'!C598-'Market Data - EQ'!C599)/'Market Data - EQ'!C599,LN('Market Data - EQ'!C598/'Market Data - EQ'!C599)))</f>
        <v>8.6207508568256694E-3</v>
      </c>
      <c r="I598" s="3">
        <f>IF('Value at Risk'!$C$5=0,'Market Data - EQ'!D598-'Market Data - EQ'!D599,IF('Value at Risk'!$C$6=0,('Market Data - EQ'!D598-'Market Data - EQ'!D599)/'Market Data - EQ'!D599,LN('Market Data - EQ'!D598/'Market Data - EQ'!D599)))</f>
        <v>-1.0149811306915175E-2</v>
      </c>
      <c r="J598" s="3">
        <f>IF('Value at Risk'!$C$5=0,'Market Data - EQ'!E598-'Market Data - EQ'!E599,IF('Value at Risk'!$C$6=0,('Market Data - EQ'!E598-'Market Data - EQ'!E599)/'Market Data - EQ'!E599,LN('Market Data - EQ'!E598/'Market Data - EQ'!E599)))</f>
        <v>1.6770029630256582E-2</v>
      </c>
      <c r="K598" s="3">
        <f>IF('Value at Risk'!$C$5=0,'Market Data - EQ'!F598-'Market Data - EQ'!F599,IF('Value at Risk'!$C$6=0,('Market Data - EQ'!F598-'Market Data - EQ'!F599)/'Market Data - EQ'!F599,LN('Market Data - EQ'!F598/'Market Data - EQ'!F599)))</f>
        <v>-7.9416700209889758E-3</v>
      </c>
      <c r="L598" s="8">
        <f t="shared" si="9"/>
        <v>6.2780309678419025E-3</v>
      </c>
    </row>
    <row r="599" spans="1:12" x14ac:dyDescent="0.25">
      <c r="A599" s="5">
        <v>42942</v>
      </c>
      <c r="B599" s="4">
        <v>873.77502400000003</v>
      </c>
      <c r="C599" s="4">
        <v>295.79998799999998</v>
      </c>
      <c r="D599" s="4">
        <v>310.35000600000001</v>
      </c>
      <c r="E599" s="4">
        <v>1580.1999510000001</v>
      </c>
      <c r="F599" s="4">
        <v>528.84997599999997</v>
      </c>
      <c r="G599" s="3">
        <f>IF('Value at Risk'!$C$5=0,'Market Data - EQ'!B599-'Market Data - EQ'!B600,IF('Value at Risk'!$C$6=0,('Market Data - EQ'!B599-'Market Data - EQ'!B600)/'Market Data - EQ'!B600,LN('Market Data - EQ'!B599/'Market Data - EQ'!B600)))</f>
        <v>4.5411570666583859E-3</v>
      </c>
      <c r="H599" s="3">
        <f>IF('Value at Risk'!$C$5=0,'Market Data - EQ'!C599-'Market Data - EQ'!C600,IF('Value at Risk'!$C$6=0,('Market Data - EQ'!C599-'Market Data - EQ'!C600)/'Market Data - EQ'!C600,LN('Market Data - EQ'!C599/'Market Data - EQ'!C600)))</f>
        <v>-1.0132319956792663E-3</v>
      </c>
      <c r="I599" s="3">
        <f>IF('Value at Risk'!$C$5=0,'Market Data - EQ'!D599-'Market Data - EQ'!D600,IF('Value at Risk'!$C$6=0,('Market Data - EQ'!D599-'Market Data - EQ'!D600)/'Market Data - EQ'!D600,LN('Market Data - EQ'!D599/'Market Data - EQ'!D600)))</f>
        <v>2.0384718468874984E-2</v>
      </c>
      <c r="J599" s="3">
        <f>IF('Value at Risk'!$C$5=0,'Market Data - EQ'!E599-'Market Data - EQ'!E600,IF('Value at Risk'!$C$6=0,('Market Data - EQ'!E599-'Market Data - EQ'!E600)/'Market Data - EQ'!E600,LN('Market Data - EQ'!E599/'Market Data - EQ'!E600)))</f>
        <v>2.4440811021069729E-2</v>
      </c>
      <c r="K599" s="3">
        <f>IF('Value at Risk'!$C$5=0,'Market Data - EQ'!F599-'Market Data - EQ'!F600,IF('Value at Risk'!$C$6=0,('Market Data - EQ'!F599-'Market Data - EQ'!F600)/'Market Data - EQ'!F600,LN('Market Data - EQ'!F599/'Market Data - EQ'!F600)))</f>
        <v>-2.9544060272449438E-2</v>
      </c>
      <c r="L599" s="8">
        <f t="shared" si="9"/>
        <v>3.7618788576948788E-3</v>
      </c>
    </row>
    <row r="600" spans="1:12" x14ac:dyDescent="0.25">
      <c r="A600" s="5">
        <v>42941</v>
      </c>
      <c r="B600" s="4">
        <v>869.82501200000002</v>
      </c>
      <c r="C600" s="4">
        <v>296.10000600000001</v>
      </c>
      <c r="D600" s="4">
        <v>304.14999399999999</v>
      </c>
      <c r="E600" s="4">
        <v>1542.5</v>
      </c>
      <c r="F600" s="4">
        <v>544.95001200000002</v>
      </c>
      <c r="G600" s="3">
        <f>IF('Value at Risk'!$C$5=0,'Market Data - EQ'!B600-'Market Data - EQ'!B601,IF('Value at Risk'!$C$6=0,('Market Data - EQ'!B600-'Market Data - EQ'!B601)/'Market Data - EQ'!B601,LN('Market Data - EQ'!B600/'Market Data - EQ'!B601)))</f>
        <v>2.6223549437707216E-3</v>
      </c>
      <c r="H600" s="3">
        <f>IF('Value at Risk'!$C$5=0,'Market Data - EQ'!C600-'Market Data - EQ'!C601,IF('Value at Risk'!$C$6=0,('Market Data - EQ'!C600-'Market Data - EQ'!C601)/'Market Data - EQ'!C601,LN('Market Data - EQ'!C600/'Market Data - EQ'!C601)))</f>
        <v>5.2623257957831685E-3</v>
      </c>
      <c r="I600" s="3">
        <f>IF('Value at Risk'!$C$5=0,'Market Data - EQ'!D600-'Market Data - EQ'!D601,IF('Value at Risk'!$C$6=0,('Market Data - EQ'!D600-'Market Data - EQ'!D601)/'Market Data - EQ'!D601,LN('Market Data - EQ'!D600/'Market Data - EQ'!D601)))</f>
        <v>3.6297840077789663E-3</v>
      </c>
      <c r="J600" s="3">
        <f>IF('Value at Risk'!$C$5=0,'Market Data - EQ'!E600-'Market Data - EQ'!E601,IF('Value at Risk'!$C$6=0,('Market Data - EQ'!E600-'Market Data - EQ'!E601)/'Market Data - EQ'!E601,LN('Market Data - EQ'!E600/'Market Data - EQ'!E601)))</f>
        <v>-7.7195239626889674E-3</v>
      </c>
      <c r="K600" s="3">
        <f>IF('Value at Risk'!$C$5=0,'Market Data - EQ'!F600-'Market Data - EQ'!F601,IF('Value at Risk'!$C$6=0,('Market Data - EQ'!F600-'Market Data - EQ'!F601)/'Market Data - EQ'!F601,LN('Market Data - EQ'!F600/'Market Data - EQ'!F601)))</f>
        <v>1.8979102894071176E-2</v>
      </c>
      <c r="L600" s="8">
        <f t="shared" si="9"/>
        <v>4.554808735743013E-3</v>
      </c>
    </row>
    <row r="601" spans="1:12" x14ac:dyDescent="0.25">
      <c r="A601" s="5">
        <v>42940</v>
      </c>
      <c r="B601" s="4">
        <v>867.54998799999998</v>
      </c>
      <c r="C601" s="4">
        <v>294.54998799999998</v>
      </c>
      <c r="D601" s="4">
        <v>303.04998799999998</v>
      </c>
      <c r="E601" s="4">
        <v>1554.5</v>
      </c>
      <c r="F601" s="4">
        <v>534.79998799999998</v>
      </c>
      <c r="G601" s="3">
        <f>IF('Value at Risk'!$C$5=0,'Market Data - EQ'!B601-'Market Data - EQ'!B602,IF('Value at Risk'!$C$6=0,('Market Data - EQ'!B601-'Market Data - EQ'!B602)/'Market Data - EQ'!B602,LN('Market Data - EQ'!B601/'Market Data - EQ'!B602)))</f>
        <v>1.8819134550765657E-2</v>
      </c>
      <c r="H601" s="3">
        <f>IF('Value at Risk'!$C$5=0,'Market Data - EQ'!C601-'Market Data - EQ'!C602,IF('Value at Risk'!$C$6=0,('Market Data - EQ'!C601-'Market Data - EQ'!C602)/'Market Data - EQ'!C602,LN('Market Data - EQ'!C601/'Market Data - EQ'!C602)))</f>
        <v>1.3418180218507049E-2</v>
      </c>
      <c r="I601" s="3">
        <f>IF('Value at Risk'!$C$5=0,'Market Data - EQ'!D601-'Market Data - EQ'!D602,IF('Value at Risk'!$C$6=0,('Market Data - EQ'!D601-'Market Data - EQ'!D602)/'Market Data - EQ'!D602,LN('Market Data - EQ'!D601/'Market Data - EQ'!D602)))</f>
        <v>3.3107102788562273E-3</v>
      </c>
      <c r="J601" s="3">
        <f>IF('Value at Risk'!$C$5=0,'Market Data - EQ'!E601-'Market Data - EQ'!E602,IF('Value at Risk'!$C$6=0,('Market Data - EQ'!E601-'Market Data - EQ'!E602)/'Market Data - EQ'!E602,LN('Market Data - EQ'!E601/'Market Data - EQ'!E602)))</f>
        <v>-7.7554168537133537E-3</v>
      </c>
      <c r="K601" s="3">
        <f>IF('Value at Risk'!$C$5=0,'Market Data - EQ'!F601-'Market Data - EQ'!F602,IF('Value at Risk'!$C$6=0,('Market Data - EQ'!F601-'Market Data - EQ'!F602)/'Market Data - EQ'!F602,LN('Market Data - EQ'!F601/'Market Data - EQ'!F602)))</f>
        <v>-1.1094674802396631E-2</v>
      </c>
      <c r="L601" s="8">
        <f t="shared" si="9"/>
        <v>3.3395866784037887E-3</v>
      </c>
    </row>
    <row r="602" spans="1:12" x14ac:dyDescent="0.25">
      <c r="A602" s="5">
        <v>42937</v>
      </c>
      <c r="B602" s="4">
        <v>851.52502400000003</v>
      </c>
      <c r="C602" s="4">
        <v>290.64999399999999</v>
      </c>
      <c r="D602" s="4">
        <v>302.04998799999998</v>
      </c>
      <c r="E602" s="4">
        <v>1566.650024</v>
      </c>
      <c r="F602" s="4">
        <v>540.79998799999998</v>
      </c>
      <c r="G602" s="3">
        <f>IF('Value at Risk'!$C$5=0,'Market Data - EQ'!B602-'Market Data - EQ'!B603,IF('Value at Risk'!$C$6=0,('Market Data - EQ'!B602-'Market Data - EQ'!B603)/'Market Data - EQ'!B603,LN('Market Data - EQ'!B602/'Market Data - EQ'!B603)))</f>
        <v>-4.588214325724955E-3</v>
      </c>
      <c r="H602" s="3">
        <f>IF('Value at Risk'!$C$5=0,'Market Data - EQ'!C602-'Market Data - EQ'!C603,IF('Value at Risk'!$C$6=0,('Market Data - EQ'!C602-'Market Data - EQ'!C603)/'Market Data - EQ'!C603,LN('Market Data - EQ'!C602/'Market Data - EQ'!C603)))</f>
        <v>-1.0311668246297332E-3</v>
      </c>
      <c r="I602" s="3">
        <f>IF('Value at Risk'!$C$5=0,'Market Data - EQ'!D602-'Market Data - EQ'!D603,IF('Value at Risk'!$C$6=0,('Market Data - EQ'!D602-'Market Data - EQ'!D603)/'Market Data - EQ'!D603,LN('Market Data - EQ'!D602/'Market Data - EQ'!D603)))</f>
        <v>4.8236259848909559E-3</v>
      </c>
      <c r="J602" s="3">
        <f>IF('Value at Risk'!$C$5=0,'Market Data - EQ'!E602-'Market Data - EQ'!E603,IF('Value at Risk'!$C$6=0,('Market Data - EQ'!E602-'Market Data - EQ'!E603)/'Market Data - EQ'!E603,LN('Market Data - EQ'!E602/'Market Data - EQ'!E603)))</f>
        <v>4.2628358974359168E-3</v>
      </c>
      <c r="K602" s="3">
        <f>IF('Value at Risk'!$C$5=0,'Market Data - EQ'!F602-'Market Data - EQ'!F603,IF('Value at Risk'!$C$6=0,('Market Data - EQ'!F602-'Market Data - EQ'!F603)/'Market Data - EQ'!F603,LN('Market Data - EQ'!F602/'Market Data - EQ'!F603)))</f>
        <v>1.4814592592592311E-3</v>
      </c>
      <c r="L602" s="8">
        <f t="shared" si="9"/>
        <v>9.897079982462832E-4</v>
      </c>
    </row>
    <row r="603" spans="1:12" x14ac:dyDescent="0.25">
      <c r="A603" s="5">
        <v>42936</v>
      </c>
      <c r="B603" s="4">
        <v>855.45001200000002</v>
      </c>
      <c r="C603" s="4">
        <v>290.95001200000002</v>
      </c>
      <c r="D603" s="4">
        <v>300.60000600000001</v>
      </c>
      <c r="E603" s="4">
        <v>1560</v>
      </c>
      <c r="F603" s="4">
        <v>540</v>
      </c>
      <c r="G603" s="3">
        <f>IF('Value at Risk'!$C$5=0,'Market Data - EQ'!B603-'Market Data - EQ'!B604,IF('Value at Risk'!$C$6=0,('Market Data - EQ'!B603-'Market Data - EQ'!B604)/'Market Data - EQ'!B604,LN('Market Data - EQ'!B603/'Market Data - EQ'!B604)))</f>
        <v>1.0990944556186627E-2</v>
      </c>
      <c r="H603" s="3">
        <f>IF('Value at Risk'!$C$5=0,'Market Data - EQ'!C603-'Market Data - EQ'!C604,IF('Value at Risk'!$C$6=0,('Market Data - EQ'!C603-'Market Data - EQ'!C604)/'Market Data - EQ'!C604,LN('Market Data - EQ'!C603/'Market Data - EQ'!C604)))</f>
        <v>-8.0121926223875942E-3</v>
      </c>
      <c r="I603" s="3">
        <f>IF('Value at Risk'!$C$5=0,'Market Data - EQ'!D603-'Market Data - EQ'!D604,IF('Value at Risk'!$C$6=0,('Market Data - EQ'!D603-'Market Data - EQ'!D604)/'Market Data - EQ'!D604,LN('Market Data - EQ'!D603/'Market Data - EQ'!D604)))</f>
        <v>-5.4590372208436471E-3</v>
      </c>
      <c r="J603" s="3">
        <f>IF('Value at Risk'!$C$5=0,'Market Data - EQ'!E603-'Market Data - EQ'!E604,IF('Value at Risk'!$C$6=0,('Market Data - EQ'!E603-'Market Data - EQ'!E604)/'Market Data - EQ'!E604,LN('Market Data - EQ'!E603/'Market Data - EQ'!E604)))</f>
        <v>-9.2407662806531371E-3</v>
      </c>
      <c r="K603" s="3">
        <f>IF('Value at Risk'!$C$5=0,'Market Data - EQ'!F603-'Market Data - EQ'!F604,IF('Value at Risk'!$C$6=0,('Market Data - EQ'!F603-'Market Data - EQ'!F604)/'Market Data - EQ'!F604,LN('Market Data - EQ'!F603/'Market Data - EQ'!F604)))</f>
        <v>3.8062259790951299E-2</v>
      </c>
      <c r="L603" s="8">
        <f t="shared" si="9"/>
        <v>5.2682416446507094E-3</v>
      </c>
    </row>
    <row r="604" spans="1:12" x14ac:dyDescent="0.25">
      <c r="A604" s="5">
        <v>42935</v>
      </c>
      <c r="B604" s="4">
        <v>846.15002400000003</v>
      </c>
      <c r="C604" s="4">
        <v>293.29998799999998</v>
      </c>
      <c r="D604" s="4">
        <v>302.25</v>
      </c>
      <c r="E604" s="4">
        <v>1574.5500489999999</v>
      </c>
      <c r="F604" s="4">
        <v>520.20001200000002</v>
      </c>
      <c r="G604" s="3">
        <f>IF('Value at Risk'!$C$5=0,'Market Data - EQ'!B604-'Market Data - EQ'!B605,IF('Value at Risk'!$C$6=0,('Market Data - EQ'!B604-'Market Data - EQ'!B605)/'Market Data - EQ'!B605,LN('Market Data - EQ'!B604/'Market Data - EQ'!B605)))</f>
        <v>5.1973506878483962E-3</v>
      </c>
      <c r="H604" s="3">
        <f>IF('Value at Risk'!$C$5=0,'Market Data - EQ'!C604-'Market Data - EQ'!C605,IF('Value at Risk'!$C$6=0,('Market Data - EQ'!C604-'Market Data - EQ'!C605)/'Market Data - EQ'!C605,LN('Market Data - EQ'!C604/'Market Data - EQ'!C605)))</f>
        <v>7.9037388316150689E-3</v>
      </c>
      <c r="I604" s="3">
        <f>IF('Value at Risk'!$C$5=0,'Market Data - EQ'!D604-'Market Data - EQ'!D605,IF('Value at Risk'!$C$6=0,('Market Data - EQ'!D604-'Market Data - EQ'!D605)/'Market Data - EQ'!D605,LN('Market Data - EQ'!D604/'Market Data - EQ'!D605)))</f>
        <v>-5.4293979354273778E-3</v>
      </c>
      <c r="J604" s="3">
        <f>IF('Value at Risk'!$C$5=0,'Market Data - EQ'!E604-'Market Data - EQ'!E605,IF('Value at Risk'!$C$6=0,('Market Data - EQ'!E604-'Market Data - EQ'!E605)/'Market Data - EQ'!E605,LN('Market Data - EQ'!E604/'Market Data - EQ'!E605)))</f>
        <v>2.8342609184270028E-3</v>
      </c>
      <c r="K604" s="3">
        <f>IF('Value at Risk'!$C$5=0,'Market Data - EQ'!F604-'Market Data - EQ'!F605,IF('Value at Risk'!$C$6=0,('Market Data - EQ'!F604-'Market Data - EQ'!F605)/'Market Data - EQ'!F605,LN('Market Data - EQ'!F604/'Market Data - EQ'!F605)))</f>
        <v>7.0661583289012304E-3</v>
      </c>
      <c r="L604" s="8">
        <f t="shared" si="9"/>
        <v>3.5144221662728641E-3</v>
      </c>
    </row>
    <row r="605" spans="1:12" x14ac:dyDescent="0.25">
      <c r="A605" s="5">
        <v>42934</v>
      </c>
      <c r="B605" s="4">
        <v>841.77502400000003</v>
      </c>
      <c r="C605" s="4">
        <v>291</v>
      </c>
      <c r="D605" s="4">
        <v>303.89999399999999</v>
      </c>
      <c r="E605" s="4">
        <v>1570.099976</v>
      </c>
      <c r="F605" s="4">
        <v>516.54998799999998</v>
      </c>
      <c r="G605" s="3">
        <f>IF('Value at Risk'!$C$5=0,'Market Data - EQ'!B605-'Market Data - EQ'!B606,IF('Value at Risk'!$C$6=0,('Market Data - EQ'!B605-'Market Data - EQ'!B606)/'Market Data - EQ'!B606,LN('Market Data - EQ'!B605/'Market Data - EQ'!B606)))</f>
        <v>7.1333076774751365E-4</v>
      </c>
      <c r="H605" s="3">
        <f>IF('Value at Risk'!$C$5=0,'Market Data - EQ'!C605-'Market Data - EQ'!C606,IF('Value at Risk'!$C$6=0,('Market Data - EQ'!C605-'Market Data - EQ'!C606)/'Market Data - EQ'!C606,LN('Market Data - EQ'!C605/'Market Data - EQ'!C606)))</f>
        <v>-6.8259385665529011E-3</v>
      </c>
      <c r="I605" s="3">
        <f>IF('Value at Risk'!$C$5=0,'Market Data - EQ'!D605-'Market Data - EQ'!D606,IF('Value at Risk'!$C$6=0,('Market Data - EQ'!D605-'Market Data - EQ'!D606)/'Market Data - EQ'!D606,LN('Market Data - EQ'!D605/'Market Data - EQ'!D606)))</f>
        <v>1.3179373970345714E-3</v>
      </c>
      <c r="J605" s="3">
        <f>IF('Value at Risk'!$C$5=0,'Market Data - EQ'!E605-'Market Data - EQ'!E606,IF('Value at Risk'!$C$6=0,('Market Data - EQ'!E605-'Market Data - EQ'!E606)/'Market Data - EQ'!E606,LN('Market Data - EQ'!E605/'Market Data - EQ'!E606)))</f>
        <v>-6.925823130599691E-3</v>
      </c>
      <c r="K605" s="3">
        <f>IF('Value at Risk'!$C$5=0,'Market Data - EQ'!F605-'Market Data - EQ'!F606,IF('Value at Risk'!$C$6=0,('Market Data - EQ'!F605-'Market Data - EQ'!F606)/'Market Data - EQ'!F606,LN('Market Data - EQ'!F605/'Market Data - EQ'!F606)))</f>
        <v>1.1851102840352566E-2</v>
      </c>
      <c r="L605" s="8">
        <f t="shared" si="9"/>
        <v>2.6121861596411709E-5</v>
      </c>
    </row>
    <row r="606" spans="1:12" x14ac:dyDescent="0.25">
      <c r="A606" s="5">
        <v>42933</v>
      </c>
      <c r="B606" s="4">
        <v>841.17498799999998</v>
      </c>
      <c r="C606" s="4">
        <v>293</v>
      </c>
      <c r="D606" s="4">
        <v>303.5</v>
      </c>
      <c r="E606" s="4">
        <v>1581.0500489999999</v>
      </c>
      <c r="F606" s="4">
        <v>510.5</v>
      </c>
      <c r="G606" s="3">
        <f>IF('Value at Risk'!$C$5=0,'Market Data - EQ'!B606-'Market Data - EQ'!B607,IF('Value at Risk'!$C$6=0,('Market Data - EQ'!B606-'Market Data - EQ'!B607)/'Market Data - EQ'!B607,LN('Market Data - EQ'!B606/'Market Data - EQ'!B607)))</f>
        <v>1.4286282738023082E-3</v>
      </c>
      <c r="H606" s="3">
        <f>IF('Value at Risk'!$C$5=0,'Market Data - EQ'!C606-'Market Data - EQ'!C607,IF('Value at Risk'!$C$6=0,('Market Data - EQ'!C606-'Market Data - EQ'!C607)/'Market Data - EQ'!C607,LN('Market Data - EQ'!C606/'Market Data - EQ'!C607)))</f>
        <v>4.8010767187706858E-3</v>
      </c>
      <c r="I606" s="3">
        <f>IF('Value at Risk'!$C$5=0,'Market Data - EQ'!D606-'Market Data - EQ'!D607,IF('Value at Risk'!$C$6=0,('Market Data - EQ'!D606-'Market Data - EQ'!D607)/'Market Data - EQ'!D607,LN('Market Data - EQ'!D606/'Market Data - EQ'!D607)))</f>
        <v>1.7602682313495391E-2</v>
      </c>
      <c r="J606" s="3">
        <f>IF('Value at Risk'!$C$5=0,'Market Data - EQ'!E606-'Market Data - EQ'!E607,IF('Value at Risk'!$C$6=0,('Market Data - EQ'!E606-'Market Data - EQ'!E607)/'Market Data - EQ'!E607,LN('Market Data - EQ'!E606/'Market Data - EQ'!E607)))</f>
        <v>4.1600819307716381E-3</v>
      </c>
      <c r="K606" s="3">
        <f>IF('Value at Risk'!$C$5=0,'Market Data - EQ'!F606-'Market Data - EQ'!F607,IF('Value at Risk'!$C$6=0,('Market Data - EQ'!F606-'Market Data - EQ'!F607)/'Market Data - EQ'!F607,LN('Market Data - EQ'!F606/'Market Data - EQ'!F607)))</f>
        <v>-4.7763172681240043E-3</v>
      </c>
      <c r="L606" s="8">
        <f t="shared" si="9"/>
        <v>4.6432303937432046E-3</v>
      </c>
    </row>
    <row r="607" spans="1:12" x14ac:dyDescent="0.25">
      <c r="A607" s="5">
        <v>42930</v>
      </c>
      <c r="B607" s="4">
        <v>839.97497599999997</v>
      </c>
      <c r="C607" s="4">
        <v>291.60000600000001</v>
      </c>
      <c r="D607" s="4">
        <v>298.25</v>
      </c>
      <c r="E607" s="4">
        <v>1574.5</v>
      </c>
      <c r="F607" s="4">
        <v>512.95001200000002</v>
      </c>
      <c r="G607" s="3">
        <f>IF('Value at Risk'!$C$5=0,'Market Data - EQ'!B607-'Market Data - EQ'!B608,IF('Value at Risk'!$C$6=0,('Market Data - EQ'!B607-'Market Data - EQ'!B608)/'Market Data - EQ'!B608,LN('Market Data - EQ'!B607/'Market Data - EQ'!B608)))</f>
        <v>-2.1383955910766732E-3</v>
      </c>
      <c r="H607" s="3">
        <f>IF('Value at Risk'!$C$5=0,'Market Data - EQ'!C607-'Market Data - EQ'!C608,IF('Value at Risk'!$C$6=0,('Market Data - EQ'!C607-'Market Data - EQ'!C608)/'Market Data - EQ'!C608,LN('Market Data - EQ'!C607/'Market Data - EQ'!C608)))</f>
        <v>9.8701506493506751E-3</v>
      </c>
      <c r="I607" s="3">
        <f>IF('Value at Risk'!$C$5=0,'Market Data - EQ'!D607-'Market Data - EQ'!D608,IF('Value at Risk'!$C$6=0,('Market Data - EQ'!D607-'Market Data - EQ'!D608)/'Market Data - EQ'!D608,LN('Market Data - EQ'!D607/'Market Data - EQ'!D608)))</f>
        <v>1.1749110676383819E-3</v>
      </c>
      <c r="J607" s="3">
        <f>IF('Value at Risk'!$C$5=0,'Market Data - EQ'!E607-'Market Data - EQ'!E608,IF('Value at Risk'!$C$6=0,('Market Data - EQ'!E607-'Market Data - EQ'!E608)/'Market Data - EQ'!E608,LN('Market Data - EQ'!E607/'Market Data - EQ'!E608)))</f>
        <v>-3.4179529830806752E-3</v>
      </c>
      <c r="K607" s="3">
        <f>IF('Value at Risk'!$C$5=0,'Market Data - EQ'!F607-'Market Data - EQ'!F608,IF('Value at Risk'!$C$6=0,('Market Data - EQ'!F607-'Market Data - EQ'!F608)/'Market Data - EQ'!F608,LN('Market Data - EQ'!F607/'Market Data - EQ'!F608)))</f>
        <v>2.0512170586195061E-3</v>
      </c>
      <c r="L607" s="8">
        <f t="shared" si="9"/>
        <v>1.5079860402902429E-3</v>
      </c>
    </row>
    <row r="608" spans="1:12" x14ac:dyDescent="0.25">
      <c r="A608" s="5">
        <v>42929</v>
      </c>
      <c r="B608" s="4">
        <v>841.77502400000003</v>
      </c>
      <c r="C608" s="4">
        <v>288.75</v>
      </c>
      <c r="D608" s="4">
        <v>297.89999399999999</v>
      </c>
      <c r="E608" s="4">
        <v>1579.900024</v>
      </c>
      <c r="F608" s="4">
        <v>511.89999399999999</v>
      </c>
      <c r="G608" s="3">
        <f>IF('Value at Risk'!$C$5=0,'Market Data - EQ'!B608-'Market Data - EQ'!B609,IF('Value at Risk'!$C$6=0,('Market Data - EQ'!B608-'Market Data - EQ'!B609)/'Market Data - EQ'!B609,LN('Market Data - EQ'!B608/'Market Data - EQ'!B609)))</f>
        <v>1.3680582899628614E-3</v>
      </c>
      <c r="H608" s="3">
        <f>IF('Value at Risk'!$C$5=0,'Market Data - EQ'!C608-'Market Data - EQ'!C609,IF('Value at Risk'!$C$6=0,('Market Data - EQ'!C608-'Market Data - EQ'!C609)/'Market Data - EQ'!C609,LN('Market Data - EQ'!C608/'Market Data - EQ'!C609)))</f>
        <v>3.8241127166510828E-3</v>
      </c>
      <c r="I608" s="3">
        <f>IF('Value at Risk'!$C$5=0,'Market Data - EQ'!D608-'Market Data - EQ'!D609,IF('Value at Risk'!$C$6=0,('Market Data - EQ'!D608-'Market Data - EQ'!D609)/'Market Data - EQ'!D609,LN('Market Data - EQ'!D608/'Market Data - EQ'!D609)))</f>
        <v>1.8984052971081466E-2</v>
      </c>
      <c r="J608" s="3">
        <f>IF('Value at Risk'!$C$5=0,'Market Data - EQ'!E608-'Market Data - EQ'!E609,IF('Value at Risk'!$C$6=0,('Market Data - EQ'!E608-'Market Data - EQ'!E609)/'Market Data - EQ'!E609,LN('Market Data - EQ'!E608/'Market Data - EQ'!E609)))</f>
        <v>1.8389499048827079E-3</v>
      </c>
      <c r="K608" s="3">
        <f>IF('Value at Risk'!$C$5=0,'Market Data - EQ'!F608-'Market Data - EQ'!F609,IF('Value at Risk'!$C$6=0,('Market Data - EQ'!F608-'Market Data - EQ'!F609)/'Market Data - EQ'!F609,LN('Market Data - EQ'!F608/'Market Data - EQ'!F609)))</f>
        <v>1.0162790330537725E-2</v>
      </c>
      <c r="L608" s="8">
        <f t="shared" si="9"/>
        <v>7.235592842623169E-3</v>
      </c>
    </row>
    <row r="609" spans="1:12" x14ac:dyDescent="0.25">
      <c r="A609" s="5">
        <v>42928</v>
      </c>
      <c r="B609" s="4">
        <v>840.625</v>
      </c>
      <c r="C609" s="4">
        <v>287.64999399999999</v>
      </c>
      <c r="D609" s="4">
        <v>292.35000600000001</v>
      </c>
      <c r="E609" s="4">
        <v>1577</v>
      </c>
      <c r="F609" s="4">
        <v>506.75</v>
      </c>
      <c r="G609" s="3">
        <f>IF('Value at Risk'!$C$5=0,'Market Data - EQ'!B609-'Market Data - EQ'!B610,IF('Value at Risk'!$C$6=0,('Market Data - EQ'!B609-'Market Data - EQ'!B610)/'Market Data - EQ'!B610,LN('Market Data - EQ'!B609/'Market Data - EQ'!B610)))</f>
        <v>5.0581765523705416E-4</v>
      </c>
      <c r="H609" s="3">
        <f>IF('Value at Risk'!$C$5=0,'Market Data - EQ'!C609-'Market Data - EQ'!C610,IF('Value at Risk'!$C$6=0,('Market Data - EQ'!C609-'Market Data - EQ'!C610)/'Market Data - EQ'!C610,LN('Market Data - EQ'!C609/'Market Data - EQ'!C610)))</f>
        <v>1.4459552719148793E-2</v>
      </c>
      <c r="I609" s="3">
        <f>IF('Value at Risk'!$C$5=0,'Market Data - EQ'!D609-'Market Data - EQ'!D610,IF('Value at Risk'!$C$6=0,('Market Data - EQ'!D609-'Market Data - EQ'!D610)/'Market Data - EQ'!D610,LN('Market Data - EQ'!D609/'Market Data - EQ'!D610)))</f>
        <v>9.3216366508884346E-3</v>
      </c>
      <c r="J609" s="3">
        <f>IF('Value at Risk'!$C$5=0,'Market Data - EQ'!E609-'Market Data - EQ'!E610,IF('Value at Risk'!$C$6=0,('Market Data - EQ'!E609-'Market Data - EQ'!E610)/'Market Data - EQ'!E610,LN('Market Data - EQ'!E609/'Market Data - EQ'!E610)))</f>
        <v>1.044406324838793E-2</v>
      </c>
      <c r="K609" s="3">
        <f>IF('Value at Risk'!$C$5=0,'Market Data - EQ'!F609-'Market Data - EQ'!F610,IF('Value at Risk'!$C$6=0,('Market Data - EQ'!F609-'Market Data - EQ'!F610)/'Market Data - EQ'!F610,LN('Market Data - EQ'!F609/'Market Data - EQ'!F610)))</f>
        <v>-9.8634572185476901E-5</v>
      </c>
      <c r="L609" s="8">
        <f t="shared" si="9"/>
        <v>6.9264871402953468E-3</v>
      </c>
    </row>
    <row r="610" spans="1:12" x14ac:dyDescent="0.25">
      <c r="A610" s="5">
        <v>42927</v>
      </c>
      <c r="B610" s="4">
        <v>840.20001200000002</v>
      </c>
      <c r="C610" s="4">
        <v>283.54998799999998</v>
      </c>
      <c r="D610" s="4">
        <v>289.64999399999999</v>
      </c>
      <c r="E610" s="4">
        <v>1560.6999510000001</v>
      </c>
      <c r="F610" s="4">
        <v>506.79998799999998</v>
      </c>
      <c r="G610" s="3">
        <f>IF('Value at Risk'!$C$5=0,'Market Data - EQ'!B610-'Market Data - EQ'!B611,IF('Value at Risk'!$C$6=0,('Market Data - EQ'!B610-'Market Data - EQ'!B611)/'Market Data - EQ'!B611,LN('Market Data - EQ'!B610/'Market Data - EQ'!B611)))</f>
        <v>2.4159919217250974E-3</v>
      </c>
      <c r="H610" s="3">
        <f>IF('Value at Risk'!$C$5=0,'Market Data - EQ'!C610-'Market Data - EQ'!C611,IF('Value at Risk'!$C$6=0,('Market Data - EQ'!C610-'Market Data - EQ'!C611)/'Market Data - EQ'!C611,LN('Market Data - EQ'!C610/'Market Data - EQ'!C611)))</f>
        <v>-7.0040276100449359E-3</v>
      </c>
      <c r="I610" s="3">
        <f>IF('Value at Risk'!$C$5=0,'Market Data - EQ'!D610-'Market Data - EQ'!D611,IF('Value at Risk'!$C$6=0,('Market Data - EQ'!D610-'Market Data - EQ'!D611)/'Market Data - EQ'!D611,LN('Market Data - EQ'!D610/'Market Data - EQ'!D611)))</f>
        <v>-6.176077975251628E-3</v>
      </c>
      <c r="J610" s="3">
        <f>IF('Value at Risk'!$C$5=0,'Market Data - EQ'!E610-'Market Data - EQ'!E611,IF('Value at Risk'!$C$6=0,('Market Data - EQ'!E610-'Market Data - EQ'!E611)/'Market Data - EQ'!E611,LN('Market Data - EQ'!E610/'Market Data - EQ'!E611)))</f>
        <v>2.2429263010421315E-4</v>
      </c>
      <c r="K610" s="3">
        <f>IF('Value at Risk'!$C$5=0,'Market Data - EQ'!F610-'Market Data - EQ'!F611,IF('Value at Risk'!$C$6=0,('Market Data - EQ'!F610-'Market Data - EQ'!F611)/'Market Data - EQ'!F611,LN('Market Data - EQ'!F610/'Market Data - EQ'!F611)))</f>
        <v>-6.1771231020189294E-3</v>
      </c>
      <c r="L610" s="8">
        <f t="shared" si="9"/>
        <v>-3.3433888270972363E-3</v>
      </c>
    </row>
    <row r="611" spans="1:12" x14ac:dyDescent="0.25">
      <c r="A611" s="5">
        <v>42926</v>
      </c>
      <c r="B611" s="4">
        <v>838.17498799999998</v>
      </c>
      <c r="C611" s="4">
        <v>285.54998799999998</v>
      </c>
      <c r="D611" s="4">
        <v>291.45001200000002</v>
      </c>
      <c r="E611" s="4">
        <v>1560.349976</v>
      </c>
      <c r="F611" s="4">
        <v>509.95001200000002</v>
      </c>
      <c r="G611" s="3">
        <f>IF('Value at Risk'!$C$5=0,'Market Data - EQ'!B611-'Market Data - EQ'!B612,IF('Value at Risk'!$C$6=0,('Market Data - EQ'!B611-'Market Data - EQ'!B612)/'Market Data - EQ'!B612,LN('Market Data - EQ'!B611/'Market Data - EQ'!B612)))</f>
        <v>5.4882583154009295E-3</v>
      </c>
      <c r="H611" s="3">
        <f>IF('Value at Risk'!$C$5=0,'Market Data - EQ'!C611-'Market Data - EQ'!C612,IF('Value at Risk'!$C$6=0,('Market Data - EQ'!C611-'Market Data - EQ'!C612)/'Market Data - EQ'!C612,LN('Market Data - EQ'!C611/'Market Data - EQ'!C612)))</f>
        <v>1.9457271985920548E-2</v>
      </c>
      <c r="I611" s="3">
        <f>IF('Value at Risk'!$C$5=0,'Market Data - EQ'!D611-'Market Data - EQ'!D612,IF('Value at Risk'!$C$6=0,('Market Data - EQ'!D611-'Market Data - EQ'!D612)/'Market Data - EQ'!D612,LN('Market Data - EQ'!D611/'Market Data - EQ'!D612)))</f>
        <v>6.0407315412883029E-3</v>
      </c>
      <c r="J611" s="3">
        <f>IF('Value at Risk'!$C$5=0,'Market Data - EQ'!E611-'Market Data - EQ'!E612,IF('Value at Risk'!$C$6=0,('Market Data - EQ'!E611-'Market Data - EQ'!E612)/'Market Data - EQ'!E612,LN('Market Data - EQ'!E611/'Market Data - EQ'!E612)))</f>
        <v>2.2308802926599411E-2</v>
      </c>
      <c r="K611" s="3">
        <f>IF('Value at Risk'!$C$5=0,'Market Data - EQ'!F611-'Market Data - EQ'!F612,IF('Value at Risk'!$C$6=0,('Market Data - EQ'!F611-'Market Data - EQ'!F612)/'Market Data - EQ'!F612,LN('Market Data - EQ'!F611/'Market Data - EQ'!F612)))</f>
        <v>1.351489234043402E-2</v>
      </c>
      <c r="L611" s="8">
        <f t="shared" si="9"/>
        <v>1.3361991421928643E-2</v>
      </c>
    </row>
    <row r="612" spans="1:12" x14ac:dyDescent="0.25">
      <c r="A612" s="5">
        <v>42923</v>
      </c>
      <c r="B612" s="4">
        <v>833.59997599999997</v>
      </c>
      <c r="C612" s="4">
        <v>280.10000600000001</v>
      </c>
      <c r="D612" s="4">
        <v>289.70001200000002</v>
      </c>
      <c r="E612" s="4">
        <v>1526.3000489999999</v>
      </c>
      <c r="F612" s="4">
        <v>503.14999399999999</v>
      </c>
      <c r="G612" s="3">
        <f>IF('Value at Risk'!$C$5=0,'Market Data - EQ'!B612-'Market Data - EQ'!B613,IF('Value at Risk'!$C$6=0,('Market Data - EQ'!B612-'Market Data - EQ'!B613)/'Market Data - EQ'!B613,LN('Market Data - EQ'!B612/'Market Data - EQ'!B613)))</f>
        <v>5.4578463160821385E-3</v>
      </c>
      <c r="H612" s="3">
        <f>IF('Value at Risk'!$C$5=0,'Market Data - EQ'!C612-'Market Data - EQ'!C613,IF('Value at Risk'!$C$6=0,('Market Data - EQ'!C612-'Market Data - EQ'!C613)/'Market Data - EQ'!C613,LN('Market Data - EQ'!C612/'Market Data - EQ'!C613)))</f>
        <v>-3.2028256227757735E-3</v>
      </c>
      <c r="I612" s="3">
        <f>IF('Value at Risk'!$C$5=0,'Market Data - EQ'!D612-'Market Data - EQ'!D613,IF('Value at Risk'!$C$6=0,('Market Data - EQ'!D612-'Market Data - EQ'!D613)/'Market Data - EQ'!D613,LN('Market Data - EQ'!D612/'Market Data - EQ'!D613)))</f>
        <v>-1.378719319148931E-2</v>
      </c>
      <c r="J612" s="3">
        <f>IF('Value at Risk'!$C$5=0,'Market Data - EQ'!E612-'Market Data - EQ'!E613,IF('Value at Risk'!$C$6=0,('Market Data - EQ'!E612-'Market Data - EQ'!E613)/'Market Data - EQ'!E613,LN('Market Data - EQ'!E612/'Market Data - EQ'!E613)))</f>
        <v>4.44210442719021E-3</v>
      </c>
      <c r="K612" s="3">
        <f>IF('Value at Risk'!$C$5=0,'Market Data - EQ'!F612-'Market Data - EQ'!F613,IF('Value at Risk'!$C$6=0,('Market Data - EQ'!F612-'Market Data - EQ'!F613)/'Market Data - EQ'!F613,LN('Market Data - EQ'!F612/'Market Data - EQ'!F613)))</f>
        <v>-1.2463210991167827E-2</v>
      </c>
      <c r="L612" s="8">
        <f t="shared" si="9"/>
        <v>-3.9106558124321119E-3</v>
      </c>
    </row>
    <row r="613" spans="1:12" x14ac:dyDescent="0.25">
      <c r="A613" s="5">
        <v>42922</v>
      </c>
      <c r="B613" s="4">
        <v>829.07501200000002</v>
      </c>
      <c r="C613" s="4">
        <v>281</v>
      </c>
      <c r="D613" s="4">
        <v>293.75</v>
      </c>
      <c r="E613" s="4">
        <v>1519.5500489999999</v>
      </c>
      <c r="F613" s="4">
        <v>509.5</v>
      </c>
      <c r="G613" s="3">
        <f>IF('Value at Risk'!$C$5=0,'Market Data - EQ'!B613-'Market Data - EQ'!B614,IF('Value at Risk'!$C$6=0,('Market Data - EQ'!B613-'Market Data - EQ'!B614)/'Market Data - EQ'!B614,LN('Market Data - EQ'!B613/'Market Data - EQ'!B614)))</f>
        <v>5.7013034116755301E-3</v>
      </c>
      <c r="H613" s="3">
        <f>IF('Value at Risk'!$C$5=0,'Market Data - EQ'!C613-'Market Data - EQ'!C614,IF('Value at Risk'!$C$6=0,('Market Data - EQ'!C613-'Market Data - EQ'!C614)/'Market Data - EQ'!C614,LN('Market Data - EQ'!C613/'Market Data - EQ'!C614)))</f>
        <v>2.2189909542158839E-2</v>
      </c>
      <c r="I613" s="3">
        <f>IF('Value at Risk'!$C$5=0,'Market Data - EQ'!D613-'Market Data - EQ'!D614,IF('Value at Risk'!$C$6=0,('Market Data - EQ'!D613-'Market Data - EQ'!D614)/'Market Data - EQ'!D614,LN('Market Data - EQ'!D613/'Market Data - EQ'!D614)))</f>
        <v>3.0732251376494506E-3</v>
      </c>
      <c r="J613" s="3">
        <f>IF('Value at Risk'!$C$5=0,'Market Data - EQ'!E613-'Market Data - EQ'!E614,IF('Value at Risk'!$C$6=0,('Market Data - EQ'!E613-'Market Data - EQ'!E614)/'Market Data - EQ'!E614,LN('Market Data - EQ'!E613/'Market Data - EQ'!E614)))</f>
        <v>2.1103789037155464E-3</v>
      </c>
      <c r="K613" s="3">
        <f>IF('Value at Risk'!$C$5=0,'Market Data - EQ'!F613-'Market Data - EQ'!F614,IF('Value at Risk'!$C$6=0,('Market Data - EQ'!F613-'Market Data - EQ'!F614)/'Market Data - EQ'!F614,LN('Market Data - EQ'!F613/'Market Data - EQ'!F614)))</f>
        <v>-8.5620233401663155E-3</v>
      </c>
      <c r="L613" s="8">
        <f t="shared" si="9"/>
        <v>4.9025587310066107E-3</v>
      </c>
    </row>
    <row r="614" spans="1:12" x14ac:dyDescent="0.25">
      <c r="A614" s="5">
        <v>42921</v>
      </c>
      <c r="B614" s="4">
        <v>824.375</v>
      </c>
      <c r="C614" s="4">
        <v>274.89999399999999</v>
      </c>
      <c r="D614" s="4">
        <v>292.85000600000001</v>
      </c>
      <c r="E614" s="4">
        <v>1516.349976</v>
      </c>
      <c r="F614" s="4">
        <v>513.90002400000003</v>
      </c>
      <c r="G614" s="3">
        <f>IF('Value at Risk'!$C$5=0,'Market Data - EQ'!B614-'Market Data - EQ'!B615,IF('Value at Risk'!$C$6=0,('Market Data - EQ'!B614-'Market Data - EQ'!B615)/'Market Data - EQ'!B615,LN('Market Data - EQ'!B614/'Market Data - EQ'!B615)))</f>
        <v>-2.7822155422464346E-3</v>
      </c>
      <c r="H614" s="3">
        <f>IF('Value at Risk'!$C$5=0,'Market Data - EQ'!C614-'Market Data - EQ'!C615,IF('Value at Risk'!$C$6=0,('Market Data - EQ'!C614-'Market Data - EQ'!C615)/'Market Data - EQ'!C615,LN('Market Data - EQ'!C614/'Market Data - EQ'!C615)))</f>
        <v>6.9596849816849536E-3</v>
      </c>
      <c r="I614" s="3">
        <f>IF('Value at Risk'!$C$5=0,'Market Data - EQ'!D614-'Market Data - EQ'!D615,IF('Value at Risk'!$C$6=0,('Market Data - EQ'!D614-'Market Data - EQ'!D615)/'Market Data - EQ'!D615,LN('Market Data - EQ'!D614/'Market Data - EQ'!D615)))</f>
        <v>1.1571696027633877E-2</v>
      </c>
      <c r="J614" s="3">
        <f>IF('Value at Risk'!$C$5=0,'Market Data - EQ'!E614-'Market Data - EQ'!E615,IF('Value at Risk'!$C$6=0,('Market Data - EQ'!E614-'Market Data - EQ'!E615)/'Market Data - EQ'!E615,LN('Market Data - EQ'!E614/'Market Data - EQ'!E615)))</f>
        <v>1.238478194227915E-2</v>
      </c>
      <c r="K614" s="3">
        <f>IF('Value at Risk'!$C$5=0,'Market Data - EQ'!F614-'Market Data - EQ'!F615,IF('Value at Risk'!$C$6=0,('Market Data - EQ'!F614-'Market Data - EQ'!F615)/'Market Data - EQ'!F615,LN('Market Data - EQ'!F614/'Market Data - EQ'!F615)))</f>
        <v>1.0818312480153251E-2</v>
      </c>
      <c r="L614" s="8">
        <f t="shared" si="9"/>
        <v>7.7904519779009584E-3</v>
      </c>
    </row>
    <row r="615" spans="1:12" x14ac:dyDescent="0.25">
      <c r="A615" s="5">
        <v>42920</v>
      </c>
      <c r="B615" s="4">
        <v>826.67498799999998</v>
      </c>
      <c r="C615" s="4">
        <v>273</v>
      </c>
      <c r="D615" s="4">
        <v>289.5</v>
      </c>
      <c r="E615" s="4">
        <v>1497.8000489999999</v>
      </c>
      <c r="F615" s="4">
        <v>508.39999399999999</v>
      </c>
      <c r="G615" s="3">
        <f>IF('Value at Risk'!$C$5=0,'Market Data - EQ'!B615-'Market Data - EQ'!B616,IF('Value at Risk'!$C$6=0,('Market Data - EQ'!B615-'Market Data - EQ'!B616)/'Market Data - EQ'!B616,LN('Market Data - EQ'!B615/'Market Data - EQ'!B616)))</f>
        <v>-3.1653201953259886E-3</v>
      </c>
      <c r="H615" s="3">
        <f>IF('Value at Risk'!$C$5=0,'Market Data - EQ'!C615-'Market Data - EQ'!C616,IF('Value at Risk'!$C$6=0,('Market Data - EQ'!C615-'Market Data - EQ'!C616)/'Market Data - EQ'!C616,LN('Market Data - EQ'!C615/'Market Data - EQ'!C616)))</f>
        <v>-6.7309658345068675E-3</v>
      </c>
      <c r="I615" s="3">
        <f>IF('Value at Risk'!$C$5=0,'Market Data - EQ'!D615-'Market Data - EQ'!D616,IF('Value at Risk'!$C$6=0,('Market Data - EQ'!D615-'Market Data - EQ'!D616)/'Market Data - EQ'!D616,LN('Market Data - EQ'!D615/'Market Data - EQ'!D616)))</f>
        <v>-1.8961834951014887E-3</v>
      </c>
      <c r="J615" s="3">
        <f>IF('Value at Risk'!$C$5=0,'Market Data - EQ'!E615-'Market Data - EQ'!E616,IF('Value at Risk'!$C$6=0,('Market Data - EQ'!E615-'Market Data - EQ'!E616)/'Market Data - EQ'!E616,LN('Market Data - EQ'!E615/'Market Data - EQ'!E616)))</f>
        <v>4.5944520105490041E-3</v>
      </c>
      <c r="K615" s="3">
        <f>IF('Value at Risk'!$C$5=0,'Market Data - EQ'!F615-'Market Data - EQ'!F616,IF('Value at Risk'!$C$6=0,('Market Data - EQ'!F615-'Market Data - EQ'!F616)/'Market Data - EQ'!F616,LN('Market Data - EQ'!F615/'Market Data - EQ'!F616)))</f>
        <v>-1.7109726437892717E-2</v>
      </c>
      <c r="L615" s="8">
        <f t="shared" si="9"/>
        <v>-4.8615487904556118E-3</v>
      </c>
    </row>
    <row r="616" spans="1:12" x14ac:dyDescent="0.25">
      <c r="A616" s="5">
        <v>42919</v>
      </c>
      <c r="B616" s="4">
        <v>829.29998799999998</v>
      </c>
      <c r="C616" s="4">
        <v>274.85000600000001</v>
      </c>
      <c r="D616" s="4">
        <v>290.04998799999998</v>
      </c>
      <c r="E616" s="4">
        <v>1490.9499510000001</v>
      </c>
      <c r="F616" s="4">
        <v>517.25</v>
      </c>
      <c r="G616" s="3">
        <f>IF('Value at Risk'!$C$5=0,'Market Data - EQ'!B616-'Market Data - EQ'!B617,IF('Value at Risk'!$C$6=0,('Market Data - EQ'!B616-'Market Data - EQ'!B617)/'Market Data - EQ'!B617,LN('Market Data - EQ'!B616/'Market Data - EQ'!B617)))</f>
        <v>3.9647273446281866E-3</v>
      </c>
      <c r="H616" s="3">
        <f>IF('Value at Risk'!$C$5=0,'Market Data - EQ'!C616-'Market Data - EQ'!C617,IF('Value at Risk'!$C$6=0,('Market Data - EQ'!C616-'Market Data - EQ'!C617)/'Market Data - EQ'!C617,LN('Market Data - EQ'!C616/'Market Data - EQ'!C617)))</f>
        <v>4.3852074778412574E-3</v>
      </c>
      <c r="I616" s="3">
        <f>IF('Value at Risk'!$C$5=0,'Market Data - EQ'!D616-'Market Data - EQ'!D617,IF('Value at Risk'!$C$6=0,('Market Data - EQ'!D616-'Market Data - EQ'!D617)/'Market Data - EQ'!D617,LN('Market Data - EQ'!D616/'Market Data - EQ'!D617)))</f>
        <v>-3.4467000540419656E-4</v>
      </c>
      <c r="J616" s="3">
        <f>IF('Value at Risk'!$C$5=0,'Market Data - EQ'!E616-'Market Data - EQ'!E617,IF('Value at Risk'!$C$6=0,('Market Data - EQ'!E616-'Market Data - EQ'!E617)/'Market Data - EQ'!E617,LN('Market Data - EQ'!E616/'Market Data - EQ'!E617)))</f>
        <v>8.1138648349027183E-3</v>
      </c>
      <c r="K616" s="3">
        <f>IF('Value at Risk'!$C$5=0,'Market Data - EQ'!F616-'Market Data - EQ'!F617,IF('Value at Risk'!$C$6=0,('Market Data - EQ'!F616-'Market Data - EQ'!F617)/'Market Data - EQ'!F617,LN('Market Data - EQ'!F616/'Market Data - EQ'!F617)))</f>
        <v>-1.9324636056418731E-4</v>
      </c>
      <c r="L616" s="8">
        <f t="shared" si="9"/>
        <v>3.1851766582807555E-3</v>
      </c>
    </row>
    <row r="617" spans="1:12" x14ac:dyDescent="0.25">
      <c r="A617" s="5">
        <v>42916</v>
      </c>
      <c r="B617" s="4">
        <v>826.02502400000003</v>
      </c>
      <c r="C617" s="4">
        <v>273.64999399999999</v>
      </c>
      <c r="D617" s="4">
        <v>290.14999399999999</v>
      </c>
      <c r="E617" s="4">
        <v>1478.9499510000001</v>
      </c>
      <c r="F617" s="4">
        <v>517.34997599999997</v>
      </c>
      <c r="G617" s="3">
        <f>IF('Value at Risk'!$C$5=0,'Market Data - EQ'!B617-'Market Data - EQ'!B618,IF('Value at Risk'!$C$6=0,('Market Data - EQ'!B617-'Market Data - EQ'!B618)/'Market Data - EQ'!B618,LN('Market Data - EQ'!B617/'Market Data - EQ'!B618)))</f>
        <v>-6.6143529554198955E-3</v>
      </c>
      <c r="H617" s="3">
        <f>IF('Value at Risk'!$C$5=0,'Market Data - EQ'!C617-'Market Data - EQ'!C618,IF('Value at Risk'!$C$6=0,('Market Data - EQ'!C617-'Market Data - EQ'!C618)/'Market Data - EQ'!C618,LN('Market Data - EQ'!C617/'Market Data - EQ'!C618)))</f>
        <v>4.4044116246909071E-3</v>
      </c>
      <c r="I617" s="3">
        <f>IF('Value at Risk'!$C$5=0,'Market Data - EQ'!D617-'Market Data - EQ'!D618,IF('Value at Risk'!$C$6=0,('Market Data - EQ'!D617-'Market Data - EQ'!D618)/'Market Data - EQ'!D618,LN('Market Data - EQ'!D617/'Market Data - EQ'!D618)))</f>
        <v>-1.0571205456095507E-2</v>
      </c>
      <c r="J617" s="3">
        <f>IF('Value at Risk'!$C$5=0,'Market Data - EQ'!E617-'Market Data - EQ'!E618,IF('Value at Risk'!$C$6=0,('Market Data - EQ'!E617-'Market Data - EQ'!E618)/'Market Data - EQ'!E618,LN('Market Data - EQ'!E617/'Market Data - EQ'!E618)))</f>
        <v>-4.0559493097613289E-4</v>
      </c>
      <c r="K617" s="3">
        <f>IF('Value at Risk'!$C$5=0,'Market Data - EQ'!F617-'Market Data - EQ'!F618,IF('Value at Risk'!$C$6=0,('Market Data - EQ'!F617-'Market Data - EQ'!F618)/'Market Data - EQ'!F618,LN('Market Data - EQ'!F617/'Market Data - EQ'!F618)))</f>
        <v>1.0251904405478825E-2</v>
      </c>
      <c r="L617" s="8">
        <f t="shared" si="9"/>
        <v>-5.8696746246436062E-4</v>
      </c>
    </row>
    <row r="618" spans="1:12" x14ac:dyDescent="0.25">
      <c r="A618" s="5">
        <v>42915</v>
      </c>
      <c r="B618" s="4">
        <v>831.52502400000003</v>
      </c>
      <c r="C618" s="4">
        <v>272.45001200000002</v>
      </c>
      <c r="D618" s="4">
        <v>293.25</v>
      </c>
      <c r="E618" s="4">
        <v>1479.5500489999999</v>
      </c>
      <c r="F618" s="4">
        <v>512.09997599999997</v>
      </c>
      <c r="G618" s="3">
        <f>IF('Value at Risk'!$C$5=0,'Market Data - EQ'!B618-'Market Data - EQ'!B619,IF('Value at Risk'!$C$6=0,('Market Data - EQ'!B618-'Market Data - EQ'!B619)/'Market Data - EQ'!B619,LN('Market Data - EQ'!B618/'Market Data - EQ'!B619)))</f>
        <v>-2.0402076857570571E-3</v>
      </c>
      <c r="H618" s="3">
        <f>IF('Value at Risk'!$C$5=0,'Market Data - EQ'!C618-'Market Data - EQ'!C619,IF('Value at Risk'!$C$6=0,('Market Data - EQ'!C618-'Market Data - EQ'!C619)/'Market Data - EQ'!C619,LN('Market Data - EQ'!C618/'Market Data - EQ'!C619)))</f>
        <v>-1.4290817965791914E-2</v>
      </c>
      <c r="I618" s="3">
        <f>IF('Value at Risk'!$C$5=0,'Market Data - EQ'!D618-'Market Data - EQ'!D619,IF('Value at Risk'!$C$6=0,('Market Data - EQ'!D618-'Market Data - EQ'!D619)/'Market Data - EQ'!D619,LN('Market Data - EQ'!D618/'Market Data - EQ'!D619)))</f>
        <v>9.9879247118045255E-3</v>
      </c>
      <c r="J618" s="3">
        <f>IF('Value at Risk'!$C$5=0,'Market Data - EQ'!E618-'Market Data - EQ'!E619,IF('Value at Risk'!$C$6=0,('Market Data - EQ'!E618-'Market Data - EQ'!E619)/'Market Data - EQ'!E619,LN('Market Data - EQ'!E618/'Market Data - EQ'!E619)))</f>
        <v>-7.4463991019263461E-3</v>
      </c>
      <c r="K618" s="3">
        <f>IF('Value at Risk'!$C$5=0,'Market Data - EQ'!F618-'Market Data - EQ'!F619,IF('Value at Risk'!$C$6=0,('Market Data - EQ'!F618-'Market Data - EQ'!F619)/'Market Data - EQ'!F619,LN('Market Data - EQ'!F618/'Market Data - EQ'!F619)))</f>
        <v>4.0853609756097496E-2</v>
      </c>
      <c r="L618" s="8">
        <f t="shared" si="9"/>
        <v>5.4128219428853409E-3</v>
      </c>
    </row>
    <row r="619" spans="1:12" x14ac:dyDescent="0.25">
      <c r="A619" s="5">
        <v>42914</v>
      </c>
      <c r="B619" s="4">
        <v>833.22497599999997</v>
      </c>
      <c r="C619" s="4">
        <v>276.39999399999999</v>
      </c>
      <c r="D619" s="4">
        <v>290.35000600000001</v>
      </c>
      <c r="E619" s="4">
        <v>1490.650024</v>
      </c>
      <c r="F619" s="4">
        <v>492</v>
      </c>
      <c r="G619" s="3">
        <f>IF('Value at Risk'!$C$5=0,'Market Data - EQ'!B619-'Market Data - EQ'!B620,IF('Value at Risk'!$C$6=0,('Market Data - EQ'!B619-'Market Data - EQ'!B620)/'Market Data - EQ'!B620,LN('Market Data - EQ'!B619/'Market Data - EQ'!B620)))</f>
        <v>-7.1961861465490021E-4</v>
      </c>
      <c r="H619" s="3">
        <f>IF('Value at Risk'!$C$5=0,'Market Data - EQ'!C619-'Market Data - EQ'!C620,IF('Value at Risk'!$C$6=0,('Market Data - EQ'!C619-'Market Data - EQ'!C620)/'Market Data - EQ'!C620,LN('Market Data - EQ'!C619/'Market Data - EQ'!C620)))</f>
        <v>-1.1621670193921048E-2</v>
      </c>
      <c r="I619" s="3">
        <f>IF('Value at Risk'!$C$5=0,'Market Data - EQ'!D619-'Market Data - EQ'!D620,IF('Value at Risk'!$C$6=0,('Market Data - EQ'!D619-'Market Data - EQ'!D620)/'Market Data - EQ'!D620,LN('Market Data - EQ'!D619/'Market Data - EQ'!D620)))</f>
        <v>8.5099411290714203E-3</v>
      </c>
      <c r="J619" s="3">
        <f>IF('Value at Risk'!$C$5=0,'Market Data - EQ'!E619-'Market Data - EQ'!E620,IF('Value at Risk'!$C$6=0,('Market Data - EQ'!E619-'Market Data - EQ'!E620)/'Market Data - EQ'!E620,LN('Market Data - EQ'!E619/'Market Data - EQ'!E620)))</f>
        <v>3.3553668553308027E-4</v>
      </c>
      <c r="K619" s="3">
        <f>IF('Value at Risk'!$C$5=0,'Market Data - EQ'!F619-'Market Data - EQ'!F620,IF('Value at Risk'!$C$6=0,('Market Data - EQ'!F619-'Market Data - EQ'!F620)/'Market Data - EQ'!F620,LN('Market Data - EQ'!F619/'Market Data - EQ'!F620)))</f>
        <v>-1.7246748293638199E-3</v>
      </c>
      <c r="L619" s="8">
        <f t="shared" si="9"/>
        <v>-1.0440971646670536E-3</v>
      </c>
    </row>
    <row r="620" spans="1:12" x14ac:dyDescent="0.25">
      <c r="A620" s="5">
        <v>42913</v>
      </c>
      <c r="B620" s="4">
        <v>833.82501200000002</v>
      </c>
      <c r="C620" s="4">
        <v>279.64999399999999</v>
      </c>
      <c r="D620" s="4">
        <v>287.89999399999999</v>
      </c>
      <c r="E620" s="4">
        <v>1490.150024</v>
      </c>
      <c r="F620" s="4">
        <v>492.85000600000001</v>
      </c>
      <c r="G620" s="3">
        <f>IF('Value at Risk'!$C$5=0,'Market Data - EQ'!B620-'Market Data - EQ'!B621,IF('Value at Risk'!$C$6=0,('Market Data - EQ'!B620-'Market Data - EQ'!B621)/'Market Data - EQ'!B621,LN('Market Data - EQ'!B620/'Market Data - EQ'!B621)))</f>
        <v>-6.5528846648978453E-3</v>
      </c>
      <c r="H620" s="3">
        <f>IF('Value at Risk'!$C$5=0,'Market Data - EQ'!C620-'Market Data - EQ'!C621,IF('Value at Risk'!$C$6=0,('Market Data - EQ'!C620-'Market Data - EQ'!C621)/'Market Data - EQ'!C621,LN('Market Data - EQ'!C620/'Market Data - EQ'!C621)))</f>
        <v>-3.2185560179177369E-2</v>
      </c>
      <c r="I620" s="3">
        <f>IF('Value at Risk'!$C$5=0,'Market Data - EQ'!D620-'Market Data - EQ'!D621,IF('Value at Risk'!$C$6=0,('Market Data - EQ'!D620-'Market Data - EQ'!D621)/'Market Data - EQ'!D621,LN('Market Data - EQ'!D620/'Market Data - EQ'!D621)))</f>
        <v>-1.3534390676010522E-2</v>
      </c>
      <c r="J620" s="3">
        <f>IF('Value at Risk'!$C$5=0,'Market Data - EQ'!E620-'Market Data - EQ'!E621,IF('Value at Risk'!$C$6=0,('Market Data - EQ'!E620-'Market Data - EQ'!E621)/'Market Data - EQ'!E621,LN('Market Data - EQ'!E620/'Market Data - EQ'!E621)))</f>
        <v>-8.3813864817263806E-4</v>
      </c>
      <c r="K620" s="3">
        <f>IF('Value at Risk'!$C$5=0,'Market Data - EQ'!F620-'Market Data - EQ'!F621,IF('Value at Risk'!$C$6=0,('Market Data - EQ'!F620-'Market Data - EQ'!F621)/'Market Data - EQ'!F621,LN('Market Data - EQ'!F620/'Market Data - EQ'!F621)))</f>
        <v>-2.3382518855236498E-2</v>
      </c>
      <c r="L620" s="8">
        <f t="shared" si="9"/>
        <v>-1.5298698604698974E-2</v>
      </c>
    </row>
    <row r="621" spans="1:12" x14ac:dyDescent="0.25">
      <c r="A621" s="5">
        <v>42909</v>
      </c>
      <c r="B621" s="4">
        <v>839.32501200000002</v>
      </c>
      <c r="C621" s="4">
        <v>288.95001200000002</v>
      </c>
      <c r="D621" s="4">
        <v>291.85000600000001</v>
      </c>
      <c r="E621" s="4">
        <v>1491.400024</v>
      </c>
      <c r="F621" s="4">
        <v>504.64999399999999</v>
      </c>
      <c r="G621" s="3">
        <f>IF('Value at Risk'!$C$5=0,'Market Data - EQ'!B621-'Market Data - EQ'!B622,IF('Value at Risk'!$C$6=0,('Market Data - EQ'!B621-'Market Data - EQ'!B622)/'Market Data - EQ'!B622,LN('Market Data - EQ'!B621/'Market Data - EQ'!B622)))</f>
        <v>-1.1395745583038852E-2</v>
      </c>
      <c r="H621" s="3">
        <f>IF('Value at Risk'!$C$5=0,'Market Data - EQ'!C621-'Market Data - EQ'!C622,IF('Value at Risk'!$C$6=0,('Market Data - EQ'!C621-'Market Data - EQ'!C622)/'Market Data - EQ'!C622,LN('Market Data - EQ'!C621/'Market Data - EQ'!C622)))</f>
        <v>-1.8845460101867519E-2</v>
      </c>
      <c r="I621" s="3">
        <f>IF('Value at Risk'!$C$5=0,'Market Data - EQ'!D621-'Market Data - EQ'!D622,IF('Value at Risk'!$C$6=0,('Market Data - EQ'!D621-'Market Data - EQ'!D622)/'Market Data - EQ'!D622,LN('Market Data - EQ'!D621/'Market Data - EQ'!D622)))</f>
        <v>7.7693368556076619E-3</v>
      </c>
      <c r="J621" s="3">
        <f>IF('Value at Risk'!$C$5=0,'Market Data - EQ'!E621-'Market Data - EQ'!E622,IF('Value at Risk'!$C$6=0,('Market Data - EQ'!E621-'Market Data - EQ'!E622)/'Market Data - EQ'!E622,LN('Market Data - EQ'!E621/'Market Data - EQ'!E622)))</f>
        <v>5.0313620764413577E-4</v>
      </c>
      <c r="K621" s="3">
        <f>IF('Value at Risk'!$C$5=0,'Market Data - EQ'!F621-'Market Data - EQ'!F622,IF('Value at Risk'!$C$6=0,('Market Data - EQ'!F621-'Market Data - EQ'!F622)/'Market Data - EQ'!F622,LN('Market Data - EQ'!F621/'Market Data - EQ'!F622)))</f>
        <v>-6.5945000000000153E-3</v>
      </c>
      <c r="L621" s="8">
        <f t="shared" si="9"/>
        <v>-5.7126465243309181E-3</v>
      </c>
    </row>
    <row r="622" spans="1:12" x14ac:dyDescent="0.25">
      <c r="A622" s="5">
        <v>42908</v>
      </c>
      <c r="B622" s="4">
        <v>849</v>
      </c>
      <c r="C622" s="4">
        <v>294.5</v>
      </c>
      <c r="D622" s="4">
        <v>289.60000600000001</v>
      </c>
      <c r="E622" s="4">
        <v>1490.650024</v>
      </c>
      <c r="F622" s="4">
        <v>508</v>
      </c>
      <c r="G622" s="3">
        <f>IF('Value at Risk'!$C$5=0,'Market Data - EQ'!B622-'Market Data - EQ'!B623,IF('Value at Risk'!$C$6=0,('Market Data - EQ'!B622-'Market Data - EQ'!B623)/'Market Data - EQ'!B623,LN('Market Data - EQ'!B622/'Market Data - EQ'!B623)))</f>
        <v>-4.1205158049003069E-4</v>
      </c>
      <c r="H622" s="3">
        <f>IF('Value at Risk'!$C$5=0,'Market Data - EQ'!C622-'Market Data - EQ'!C623,IF('Value at Risk'!$C$6=0,('Market Data - EQ'!C622-'Market Data - EQ'!C623)/'Market Data - EQ'!C623,LN('Market Data - EQ'!C622/'Market Data - EQ'!C623)))</f>
        <v>1.2375407611730675E-2</v>
      </c>
      <c r="I622" s="3">
        <f>IF('Value at Risk'!$C$5=0,'Market Data - EQ'!D622-'Market Data - EQ'!D623,IF('Value at Risk'!$C$6=0,('Market Data - EQ'!D622-'Market Data - EQ'!D623)/'Market Data - EQ'!D623,LN('Market Data - EQ'!D622/'Market Data - EQ'!D623)))</f>
        <v>-5.1528683238845413E-3</v>
      </c>
      <c r="J622" s="3">
        <f>IF('Value at Risk'!$C$5=0,'Market Data - EQ'!E622-'Market Data - EQ'!E623,IF('Value at Risk'!$C$6=0,('Market Data - EQ'!E622-'Market Data - EQ'!E623)/'Market Data - EQ'!E623,LN('Market Data - EQ'!E622/'Market Data - EQ'!E623)))</f>
        <v>-2.4759608253909723E-3</v>
      </c>
      <c r="K622" s="3">
        <f>IF('Value at Risk'!$C$5=0,'Market Data - EQ'!F622-'Market Data - EQ'!F623,IF('Value at Risk'!$C$6=0,('Market Data - EQ'!F622-'Market Data - EQ'!F623)/'Market Data - EQ'!F623,LN('Market Data - EQ'!F622/'Market Data - EQ'!F623)))</f>
        <v>4.9236829148202859E-4</v>
      </c>
      <c r="L622" s="8">
        <f t="shared" si="9"/>
        <v>9.653790346894316E-4</v>
      </c>
    </row>
    <row r="623" spans="1:12" x14ac:dyDescent="0.25">
      <c r="A623" s="5">
        <v>42907</v>
      </c>
      <c r="B623" s="4">
        <v>849.34997599999997</v>
      </c>
      <c r="C623" s="4">
        <v>290.89999399999999</v>
      </c>
      <c r="D623" s="4">
        <v>291.10000600000001</v>
      </c>
      <c r="E623" s="4">
        <v>1494.349976</v>
      </c>
      <c r="F623" s="4">
        <v>507.75</v>
      </c>
      <c r="G623" s="3">
        <f>IF('Value at Risk'!$C$5=0,'Market Data - EQ'!B623-'Market Data - EQ'!B624,IF('Value at Risk'!$C$6=0,('Market Data - EQ'!B623-'Market Data - EQ'!B624)/'Market Data - EQ'!B624,LN('Market Data - EQ'!B623/'Market Data - EQ'!B624)))</f>
        <v>7.2039984905327148E-3</v>
      </c>
      <c r="H623" s="3">
        <f>IF('Value at Risk'!$C$5=0,'Market Data - EQ'!C623-'Market Data - EQ'!C624,IF('Value at Risk'!$C$6=0,('Market Data - EQ'!C623-'Market Data - EQ'!C624)/'Market Data - EQ'!C624,LN('Market Data - EQ'!C623/'Market Data - EQ'!C624)))</f>
        <v>2.7576283469638563E-3</v>
      </c>
      <c r="I623" s="3">
        <f>IF('Value at Risk'!$C$5=0,'Market Data - EQ'!D623-'Market Data - EQ'!D624,IF('Value at Risk'!$C$6=0,('Market Data - EQ'!D623-'Market Data - EQ'!D624)/'Market Data - EQ'!D624,LN('Market Data - EQ'!D623/'Market Data - EQ'!D624)))</f>
        <v>-4.6161940318197271E-3</v>
      </c>
      <c r="J623" s="3">
        <f>IF('Value at Risk'!$C$5=0,'Market Data - EQ'!E623-'Market Data - EQ'!E624,IF('Value at Risk'!$C$6=0,('Market Data - EQ'!E623-'Market Data - EQ'!E624)/'Market Data - EQ'!E624,LN('Market Data - EQ'!E623/'Market Data - EQ'!E624)))</f>
        <v>-1.3597792446148001E-2</v>
      </c>
      <c r="K623" s="3">
        <f>IF('Value at Risk'!$C$5=0,'Market Data - EQ'!F623-'Market Data - EQ'!F624,IF('Value at Risk'!$C$6=0,('Market Data - EQ'!F623-'Market Data - EQ'!F624)/'Market Data - EQ'!F624,LN('Market Data - EQ'!F623/'Market Data - EQ'!F624)))</f>
        <v>-8.0101708546233899E-3</v>
      </c>
      <c r="L623" s="8">
        <f t="shared" si="9"/>
        <v>-3.252506099018909E-3</v>
      </c>
    </row>
    <row r="624" spans="1:12" x14ac:dyDescent="0.25">
      <c r="A624" s="5">
        <v>42906</v>
      </c>
      <c r="B624" s="4">
        <v>843.27502400000003</v>
      </c>
      <c r="C624" s="4">
        <v>290.10000600000001</v>
      </c>
      <c r="D624" s="4">
        <v>292.45001200000002</v>
      </c>
      <c r="E624" s="4">
        <v>1514.9499510000001</v>
      </c>
      <c r="F624" s="4">
        <v>511.85000600000001</v>
      </c>
      <c r="G624" s="3">
        <f>IF('Value at Risk'!$C$5=0,'Market Data - EQ'!B624-'Market Data - EQ'!B625,IF('Value at Risk'!$C$6=0,('Market Data - EQ'!B624-'Market Data - EQ'!B625)/'Market Data - EQ'!B625,LN('Market Data - EQ'!B624/'Market Data - EQ'!B625)))</f>
        <v>-3.7509456612778509E-3</v>
      </c>
      <c r="H624" s="3">
        <f>IF('Value at Risk'!$C$5=0,'Market Data - EQ'!C624-'Market Data - EQ'!C625,IF('Value at Risk'!$C$6=0,('Market Data - EQ'!C624-'Market Data - EQ'!C625)/'Market Data - EQ'!C625,LN('Market Data - EQ'!C624/'Market Data - EQ'!C625)))</f>
        <v>4.3275055358662513E-3</v>
      </c>
      <c r="I624" s="3">
        <f>IF('Value at Risk'!$C$5=0,'Market Data - EQ'!D624-'Market Data - EQ'!D625,IF('Value at Risk'!$C$6=0,('Market Data - EQ'!D624-'Market Data - EQ'!D625)/'Market Data - EQ'!D625,LN('Market Data - EQ'!D624/'Market Data - EQ'!D625)))</f>
        <v>3.4139920206614897E-3</v>
      </c>
      <c r="J624" s="3">
        <f>IF('Value at Risk'!$C$5=0,'Market Data - EQ'!E624-'Market Data - EQ'!E625,IF('Value at Risk'!$C$6=0,('Market Data - EQ'!E624-'Market Data - EQ'!E625)/'Market Data - EQ'!E625,LN('Market Data - EQ'!E624/'Market Data - EQ'!E625)))</f>
        <v>2.3819598750568186E-3</v>
      </c>
      <c r="K624" s="3">
        <f>IF('Value at Risk'!$C$5=0,'Market Data - EQ'!F624-'Market Data - EQ'!F625,IF('Value at Risk'!$C$6=0,('Market Data - EQ'!F624-'Market Data - EQ'!F625)/'Market Data - EQ'!F625,LN('Market Data - EQ'!F624/'Market Data - EQ'!F625)))</f>
        <v>-1.5956969368514384E-2</v>
      </c>
      <c r="L624" s="8">
        <f t="shared" si="9"/>
        <v>-1.9168915196415351E-3</v>
      </c>
    </row>
    <row r="625" spans="1:12" x14ac:dyDescent="0.25">
      <c r="A625" s="5">
        <v>42905</v>
      </c>
      <c r="B625" s="4">
        <v>846.45001200000002</v>
      </c>
      <c r="C625" s="4">
        <v>288.85000600000001</v>
      </c>
      <c r="D625" s="4">
        <v>291.45498700000002</v>
      </c>
      <c r="E625" s="4">
        <v>1511.349976</v>
      </c>
      <c r="F625" s="4">
        <v>520.15002400000003</v>
      </c>
      <c r="G625" s="3">
        <f>IF('Value at Risk'!$C$5=0,'Market Data - EQ'!B625-'Market Data - EQ'!B626,IF('Value at Risk'!$C$6=0,('Market Data - EQ'!B625-'Market Data - EQ'!B626)/'Market Data - EQ'!B626,LN('Market Data - EQ'!B625/'Market Data - EQ'!B626)))</f>
        <v>1.4168053916429552E-2</v>
      </c>
      <c r="H625" s="3">
        <f>IF('Value at Risk'!$C$5=0,'Market Data - EQ'!C625-'Market Data - EQ'!C626,IF('Value at Risk'!$C$6=0,('Market Data - EQ'!C625-'Market Data - EQ'!C626)/'Market Data - EQ'!C626,LN('Market Data - EQ'!C625/'Market Data - EQ'!C626)))</f>
        <v>1.014161174436318E-2</v>
      </c>
      <c r="I625" s="3">
        <f>IF('Value at Risk'!$C$5=0,'Market Data - EQ'!D625-'Market Data - EQ'!D626,IF('Value at Risk'!$C$6=0,('Market Data - EQ'!D625-'Market Data - EQ'!D626)/'Market Data - EQ'!D626,LN('Market Data - EQ'!D625/'Market Data - EQ'!D626)))</f>
        <v>1.2956716365051524E-2</v>
      </c>
      <c r="J625" s="3">
        <f>IF('Value at Risk'!$C$5=0,'Market Data - EQ'!E625-'Market Data - EQ'!E626,IF('Value at Risk'!$C$6=0,('Market Data - EQ'!E625-'Market Data - EQ'!E626)/'Market Data - EQ'!E626,LN('Market Data - EQ'!E625/'Market Data - EQ'!E626)))</f>
        <v>8.3060589770194964E-3</v>
      </c>
      <c r="K625" s="3">
        <f>IF('Value at Risk'!$C$5=0,'Market Data - EQ'!F625-'Market Data - EQ'!F626,IF('Value at Risk'!$C$6=0,('Market Data - EQ'!F625-'Market Data - EQ'!F626)/'Market Data - EQ'!F626,LN('Market Data - EQ'!F625/'Market Data - EQ'!F626)))</f>
        <v>1.9002863692752767E-2</v>
      </c>
      <c r="L625" s="8">
        <f t="shared" si="9"/>
        <v>1.2915060939123304E-2</v>
      </c>
    </row>
    <row r="626" spans="1:12" x14ac:dyDescent="0.25">
      <c r="A626" s="5">
        <v>42902</v>
      </c>
      <c r="B626" s="4">
        <v>834.625</v>
      </c>
      <c r="C626" s="4">
        <v>285.95001200000002</v>
      </c>
      <c r="D626" s="4">
        <v>287.72699</v>
      </c>
      <c r="E626" s="4">
        <v>1498.900024</v>
      </c>
      <c r="F626" s="4">
        <v>510.45001200000002</v>
      </c>
      <c r="G626" s="3">
        <f>IF('Value at Risk'!$C$5=0,'Market Data - EQ'!B626-'Market Data - EQ'!B627,IF('Value at Risk'!$C$6=0,('Market Data - EQ'!B626-'Market Data - EQ'!B627)/'Market Data - EQ'!B627,LN('Market Data - EQ'!B626/'Market Data - EQ'!B627)))</f>
        <v>2.9441067507787379E-3</v>
      </c>
      <c r="H626" s="3">
        <f>IF('Value at Risk'!$C$5=0,'Market Data - EQ'!C626-'Market Data - EQ'!C627,IF('Value at Risk'!$C$6=0,('Market Data - EQ'!C626-'Market Data - EQ'!C627)/'Market Data - EQ'!C627,LN('Market Data - EQ'!C626/'Market Data - EQ'!C627)))</f>
        <v>6.8662394366197721E-3</v>
      </c>
      <c r="I626" s="3">
        <f>IF('Value at Risk'!$C$5=0,'Market Data - EQ'!D626-'Market Data - EQ'!D627,IF('Value at Risk'!$C$6=0,('Market Data - EQ'!D626-'Market Data - EQ'!D627)/'Market Data - EQ'!D627,LN('Market Data - EQ'!D626/'Market Data - EQ'!D627)))</f>
        <v>-7.9178000136533911E-4</v>
      </c>
      <c r="J626" s="3">
        <f>IF('Value at Risk'!$C$5=0,'Market Data - EQ'!E626-'Market Data - EQ'!E627,IF('Value at Risk'!$C$6=0,('Market Data - EQ'!E626-'Market Data - EQ'!E627)/'Market Data - EQ'!E627,LN('Market Data - EQ'!E626/'Market Data - EQ'!E627)))</f>
        <v>5.2984735077129643E-3</v>
      </c>
      <c r="K626" s="3">
        <f>IF('Value at Risk'!$C$5=0,'Market Data - EQ'!F626-'Market Data - EQ'!F627,IF('Value at Risk'!$C$6=0,('Market Data - EQ'!F626-'Market Data - EQ'!F627)/'Market Data - EQ'!F627,LN('Market Data - EQ'!F626/'Market Data - EQ'!F627)))</f>
        <v>5.6146689643656296E-3</v>
      </c>
      <c r="L626" s="8">
        <f t="shared" si="9"/>
        <v>3.986341731622353E-3</v>
      </c>
    </row>
    <row r="627" spans="1:12" x14ac:dyDescent="0.25">
      <c r="A627" s="5">
        <v>42901</v>
      </c>
      <c r="B627" s="4">
        <v>832.17498799999998</v>
      </c>
      <c r="C627" s="4">
        <v>284</v>
      </c>
      <c r="D627" s="4">
        <v>287.95498700000002</v>
      </c>
      <c r="E627" s="4">
        <v>1491</v>
      </c>
      <c r="F627" s="4">
        <v>507.60000600000001</v>
      </c>
      <c r="G627" s="3">
        <f>IF('Value at Risk'!$C$5=0,'Market Data - EQ'!B627-'Market Data - EQ'!B628,IF('Value at Risk'!$C$6=0,('Market Data - EQ'!B627-'Market Data - EQ'!B628)/'Market Data - EQ'!B628,LN('Market Data - EQ'!B627/'Market Data - EQ'!B628)))</f>
        <v>-4.0988368817281833E-3</v>
      </c>
      <c r="H627" s="3">
        <f>IF('Value at Risk'!$C$5=0,'Market Data - EQ'!C627-'Market Data - EQ'!C628,IF('Value at Risk'!$C$6=0,('Market Data - EQ'!C627-'Market Data - EQ'!C628)/'Market Data - EQ'!C628,LN('Market Data - EQ'!C627/'Market Data - EQ'!C628)))</f>
        <v>-7.0377196183937936E-4</v>
      </c>
      <c r="I627" s="3">
        <f>IF('Value at Risk'!$C$5=0,'Market Data - EQ'!D627-'Market Data - EQ'!D628,IF('Value at Risk'!$C$6=0,('Market Data - EQ'!D627-'Market Data - EQ'!D628)/'Market Data - EQ'!D628,LN('Market Data - EQ'!D627/'Market Data - EQ'!D628)))</f>
        <v>-7.2058677319853329E-3</v>
      </c>
      <c r="J627" s="3">
        <f>IF('Value at Risk'!$C$5=0,'Market Data - EQ'!E627-'Market Data - EQ'!E628,IF('Value at Risk'!$C$6=0,('Market Data - EQ'!E627-'Market Data - EQ'!E628)/'Market Data - EQ'!E628,LN('Market Data - EQ'!E627/'Market Data - EQ'!E628)))</f>
        <v>-6.0662463473034342E-3</v>
      </c>
      <c r="K627" s="3">
        <f>IF('Value at Risk'!$C$5=0,'Market Data - EQ'!F627-'Market Data - EQ'!F628,IF('Value at Risk'!$C$6=0,('Market Data - EQ'!F627-'Market Data - EQ'!F628)/'Market Data - EQ'!F628,LN('Market Data - EQ'!F627/'Market Data - EQ'!F628)))</f>
        <v>-3.7291344455348233E-3</v>
      </c>
      <c r="L627" s="8">
        <f t="shared" si="9"/>
        <v>-4.3607714736782306E-3</v>
      </c>
    </row>
    <row r="628" spans="1:12" x14ac:dyDescent="0.25">
      <c r="A628" s="5">
        <v>42900</v>
      </c>
      <c r="B628" s="4">
        <v>835.59997599999997</v>
      </c>
      <c r="C628" s="4">
        <v>284.20001200000002</v>
      </c>
      <c r="D628" s="4">
        <v>290.04501299999998</v>
      </c>
      <c r="E628" s="4">
        <v>1500.099976</v>
      </c>
      <c r="F628" s="4">
        <v>509.5</v>
      </c>
      <c r="G628" s="3">
        <f>IF('Value at Risk'!$C$5=0,'Market Data - EQ'!B628-'Market Data - EQ'!B629,IF('Value at Risk'!$C$6=0,('Market Data - EQ'!B628-'Market Data - EQ'!B629)/'Market Data - EQ'!B629,LN('Market Data - EQ'!B628/'Market Data - EQ'!B629)))</f>
        <v>-3.2802529715823597E-3</v>
      </c>
      <c r="H628" s="3">
        <f>IF('Value at Risk'!$C$5=0,'Market Data - EQ'!C628-'Market Data - EQ'!C629,IF('Value at Risk'!$C$6=0,('Market Data - EQ'!C628-'Market Data - EQ'!C629)/'Market Data - EQ'!C629,LN('Market Data - EQ'!C628/'Market Data - EQ'!C629)))</f>
        <v>1.2330667345485545E-3</v>
      </c>
      <c r="I628" s="3">
        <f>IF('Value at Risk'!$C$5=0,'Market Data - EQ'!D628-'Market Data - EQ'!D629,IF('Value at Risk'!$C$6=0,('Market Data - EQ'!D628-'Market Data - EQ'!D629)/'Market Data - EQ'!D629,LN('Market Data - EQ'!D628/'Market Data - EQ'!D629)))</f>
        <v>1.3339143873189536E-2</v>
      </c>
      <c r="J628" s="3">
        <f>IF('Value at Risk'!$C$5=0,'Market Data - EQ'!E628-'Market Data - EQ'!E629,IF('Value at Risk'!$C$6=0,('Market Data - EQ'!E628-'Market Data - EQ'!E629)/'Market Data - EQ'!E629,LN('Market Data - EQ'!E628/'Market Data - EQ'!E629)))</f>
        <v>5.3278503314891472E-3</v>
      </c>
      <c r="K628" s="3">
        <f>IF('Value at Risk'!$C$5=0,'Market Data - EQ'!F628-'Market Data - EQ'!F629,IF('Value at Risk'!$C$6=0,('Market Data - EQ'!F628-'Market Data - EQ'!F629)/'Market Data - EQ'!F629,LN('Market Data - EQ'!F628/'Market Data - EQ'!F629)))</f>
        <v>6.0222883359315324E-3</v>
      </c>
      <c r="L628" s="8">
        <f t="shared" si="9"/>
        <v>4.5284192607152824E-3</v>
      </c>
    </row>
    <row r="629" spans="1:12" x14ac:dyDescent="0.25">
      <c r="A629" s="5">
        <v>42899</v>
      </c>
      <c r="B629" s="4">
        <v>838.34997599999997</v>
      </c>
      <c r="C629" s="4">
        <v>283.85000600000001</v>
      </c>
      <c r="D629" s="4">
        <v>286.22699</v>
      </c>
      <c r="E629" s="4">
        <v>1492.150024</v>
      </c>
      <c r="F629" s="4">
        <v>506.45001200000002</v>
      </c>
      <c r="G629" s="3">
        <f>IF('Value at Risk'!$C$5=0,'Market Data - EQ'!B629-'Market Data - EQ'!B630,IF('Value at Risk'!$C$6=0,('Market Data - EQ'!B629-'Market Data - EQ'!B630)/'Market Data - EQ'!B630,LN('Market Data - EQ'!B629/'Market Data - EQ'!B630)))</f>
        <v>4.7640161797752444E-3</v>
      </c>
      <c r="H629" s="3">
        <f>IF('Value at Risk'!$C$5=0,'Market Data - EQ'!C629-'Market Data - EQ'!C630,IF('Value at Risk'!$C$6=0,('Market Data - EQ'!C629-'Market Data - EQ'!C630)/'Market Data - EQ'!C630,LN('Market Data - EQ'!C629/'Market Data - EQ'!C630)))</f>
        <v>-3.8603472668041422E-3</v>
      </c>
      <c r="I629" s="3">
        <f>IF('Value at Risk'!$C$5=0,'Market Data - EQ'!D629-'Market Data - EQ'!D630,IF('Value at Risk'!$C$6=0,('Market Data - EQ'!D629-'Market Data - EQ'!D630)/'Market Data - EQ'!D630,LN('Market Data - EQ'!D629/'Market Data - EQ'!D630)))</f>
        <v>-2.8498073924035825E-3</v>
      </c>
      <c r="J629" s="3">
        <f>IF('Value at Risk'!$C$5=0,'Market Data - EQ'!E629-'Market Data - EQ'!E630,IF('Value at Risk'!$C$6=0,('Market Data - EQ'!E629-'Market Data - EQ'!E630)/'Market Data - EQ'!E630,LN('Market Data - EQ'!E629/'Market Data - EQ'!E630)))</f>
        <v>-9.0649651718798119E-3</v>
      </c>
      <c r="K629" s="3">
        <f>IF('Value at Risk'!$C$5=0,'Market Data - EQ'!F629-'Market Data - EQ'!F630,IF('Value at Risk'!$C$6=0,('Market Data - EQ'!F629-'Market Data - EQ'!F630)/'Market Data - EQ'!F630,LN('Market Data - EQ'!F629/'Market Data - EQ'!F630)))</f>
        <v>-2.0689418719211524E-3</v>
      </c>
      <c r="L629" s="8">
        <f t="shared" si="9"/>
        <v>-2.6160091046466888E-3</v>
      </c>
    </row>
    <row r="630" spans="1:12" x14ac:dyDescent="0.25">
      <c r="A630" s="5">
        <v>42898</v>
      </c>
      <c r="B630" s="4">
        <v>834.375</v>
      </c>
      <c r="C630" s="4">
        <v>284.95001200000002</v>
      </c>
      <c r="D630" s="4">
        <v>287.04501299999998</v>
      </c>
      <c r="E630" s="4">
        <v>1505.8000489999999</v>
      </c>
      <c r="F630" s="4">
        <v>507.5</v>
      </c>
      <c r="G630" s="3">
        <f>IF('Value at Risk'!$C$5=0,'Market Data - EQ'!B630-'Market Data - EQ'!B631,IF('Value at Risk'!$C$6=0,('Market Data - EQ'!B630-'Market Data - EQ'!B631)/'Market Data - EQ'!B631,LN('Market Data - EQ'!B630/'Market Data - EQ'!B631)))</f>
        <v>1.1698775761014013E-3</v>
      </c>
      <c r="H630" s="3">
        <f>IF('Value at Risk'!$C$5=0,'Market Data - EQ'!C630-'Market Data - EQ'!C631,IF('Value at Risk'!$C$6=0,('Market Data - EQ'!C630-'Market Data - EQ'!C631)/'Market Data - EQ'!C631,LN('Market Data - EQ'!C630/'Market Data - EQ'!C631)))</f>
        <v>-1.2476091317667876E-2</v>
      </c>
      <c r="I630" s="3">
        <f>IF('Value at Risk'!$C$5=0,'Market Data - EQ'!D630-'Market Data - EQ'!D631,IF('Value at Risk'!$C$6=0,('Market Data - EQ'!D630-'Market Data - EQ'!D631)/'Market Data - EQ'!D631,LN('Market Data - EQ'!D630/'Market Data - EQ'!D631)))</f>
        <v>-1.9869293330111955E-2</v>
      </c>
      <c r="J630" s="3">
        <f>IF('Value at Risk'!$C$5=0,'Market Data - EQ'!E630-'Market Data - EQ'!E631,IF('Value at Risk'!$C$6=0,('Market Data - EQ'!E630-'Market Data - EQ'!E631)/'Market Data - EQ'!E631,LN('Market Data - EQ'!E630/'Market Data - EQ'!E631)))</f>
        <v>-1.3786506422291765E-2</v>
      </c>
      <c r="K630" s="3">
        <f>IF('Value at Risk'!$C$5=0,'Market Data - EQ'!F630-'Market Data - EQ'!F631,IF('Value at Risk'!$C$6=0,('Market Data - EQ'!F630-'Market Data - EQ'!F631)/'Market Data - EQ'!F631,LN('Market Data - EQ'!F630/'Market Data - EQ'!F631)))</f>
        <v>-1.1973179621617286E-2</v>
      </c>
      <c r="L630" s="8">
        <f t="shared" si="9"/>
        <v>-1.1387038623117495E-2</v>
      </c>
    </row>
    <row r="631" spans="1:12" x14ac:dyDescent="0.25">
      <c r="A631" s="5">
        <v>42895</v>
      </c>
      <c r="B631" s="4">
        <v>833.40002400000003</v>
      </c>
      <c r="C631" s="4">
        <v>288.54998799999998</v>
      </c>
      <c r="D631" s="4">
        <v>292.864014</v>
      </c>
      <c r="E631" s="4">
        <v>1526.849976</v>
      </c>
      <c r="F631" s="4">
        <v>513.65002400000003</v>
      </c>
      <c r="G631" s="3">
        <f>IF('Value at Risk'!$C$5=0,'Market Data - EQ'!B631-'Market Data - EQ'!B632,IF('Value at Risk'!$C$6=0,('Market Data - EQ'!B631-'Market Data - EQ'!B632)/'Market Data - EQ'!B632,LN('Market Data - EQ'!B631/'Market Data - EQ'!B632)))</f>
        <v>1.3406321933424569E-2</v>
      </c>
      <c r="H631" s="3">
        <f>IF('Value at Risk'!$C$5=0,'Market Data - EQ'!C631-'Market Data - EQ'!C632,IF('Value at Risk'!$C$6=0,('Market Data - EQ'!C631-'Market Data - EQ'!C632)/'Market Data - EQ'!C632,LN('Market Data - EQ'!C631/'Market Data - EQ'!C632)))</f>
        <v>-1.7331253970945089E-4</v>
      </c>
      <c r="I631" s="3">
        <f>IF('Value at Risk'!$C$5=0,'Market Data - EQ'!D631-'Market Data - EQ'!D632,IF('Value at Risk'!$C$6=0,('Market Data - EQ'!D631-'Market Data - EQ'!D632)/'Market Data - EQ'!D632,LN('Market Data - EQ'!D631/'Market Data - EQ'!D632)))</f>
        <v>6.0909165234488433E-3</v>
      </c>
      <c r="J631" s="3">
        <f>IF('Value at Risk'!$C$5=0,'Market Data - EQ'!E631-'Market Data - EQ'!E632,IF('Value at Risk'!$C$6=0,('Market Data - EQ'!E631-'Market Data - EQ'!E632)/'Market Data - EQ'!E632,LN('Market Data - EQ'!E631/'Market Data - EQ'!E632)))</f>
        <v>1.8043435754243461E-3</v>
      </c>
      <c r="K631" s="3">
        <f>IF('Value at Risk'!$C$5=0,'Market Data - EQ'!F631-'Market Data - EQ'!F632,IF('Value at Risk'!$C$6=0,('Market Data - EQ'!F631-'Market Data - EQ'!F632)/'Market Data - EQ'!F632,LN('Market Data - EQ'!F631/'Market Data - EQ'!F632)))</f>
        <v>-4.0716936500241781E-3</v>
      </c>
      <c r="L631" s="8">
        <f t="shared" si="9"/>
        <v>3.4113151685128259E-3</v>
      </c>
    </row>
    <row r="632" spans="1:12" x14ac:dyDescent="0.25">
      <c r="A632" s="5">
        <v>42894</v>
      </c>
      <c r="B632" s="4">
        <v>822.375</v>
      </c>
      <c r="C632" s="4">
        <v>288.60000600000001</v>
      </c>
      <c r="D632" s="4">
        <v>291.091003</v>
      </c>
      <c r="E632" s="4">
        <v>1524.099976</v>
      </c>
      <c r="F632" s="4">
        <v>515.75</v>
      </c>
      <c r="G632" s="3">
        <f>IF('Value at Risk'!$C$5=0,'Market Data - EQ'!B632-'Market Data - EQ'!B633,IF('Value at Risk'!$C$6=0,('Market Data - EQ'!B632-'Market Data - EQ'!B633)/'Market Data - EQ'!B633,LN('Market Data - EQ'!B632/'Market Data - EQ'!B633)))</f>
        <v>2.407332937864431E-3</v>
      </c>
      <c r="H632" s="3">
        <f>IF('Value at Risk'!$C$5=0,'Market Data - EQ'!C632-'Market Data - EQ'!C633,IF('Value at Risk'!$C$6=0,('Market Data - EQ'!C632-'Market Data - EQ'!C633)/'Market Data - EQ'!C633,LN('Market Data - EQ'!C632/'Market Data - EQ'!C633)))</f>
        <v>-6.7113477216869727E-3</v>
      </c>
      <c r="I632" s="3">
        <f>IF('Value at Risk'!$C$5=0,'Market Data - EQ'!D632-'Market Data - EQ'!D633,IF('Value at Risk'!$C$6=0,('Market Data - EQ'!D632-'Market Data - EQ'!D633)/'Market Data - EQ'!D633,LN('Market Data - EQ'!D632/'Market Data - EQ'!D633)))</f>
        <v>-1.3859259382296964E-2</v>
      </c>
      <c r="J632" s="3">
        <f>IF('Value at Risk'!$C$5=0,'Market Data - EQ'!E632-'Market Data - EQ'!E633,IF('Value at Risk'!$C$6=0,('Market Data - EQ'!E632-'Market Data - EQ'!E633)/'Market Data - EQ'!E633,LN('Market Data - EQ'!E632/'Market Data - EQ'!E633)))</f>
        <v>4.7134218207307973E-3</v>
      </c>
      <c r="K632" s="3">
        <f>IF('Value at Risk'!$C$5=0,'Market Data - EQ'!F632-'Market Data - EQ'!F633,IF('Value at Risk'!$C$6=0,('Market Data - EQ'!F632-'Market Data - EQ'!F633)/'Market Data - EQ'!F633,LN('Market Data - EQ'!F632/'Market Data - EQ'!F633)))</f>
        <v>3.0143678798669198E-3</v>
      </c>
      <c r="L632" s="8">
        <f t="shared" si="9"/>
        <v>-2.0870968931043579E-3</v>
      </c>
    </row>
    <row r="633" spans="1:12" x14ac:dyDescent="0.25">
      <c r="A633" s="5">
        <v>42893</v>
      </c>
      <c r="B633" s="4">
        <v>820.40002400000003</v>
      </c>
      <c r="C633" s="4">
        <v>290.54998799999998</v>
      </c>
      <c r="D633" s="4">
        <v>295.182007</v>
      </c>
      <c r="E633" s="4">
        <v>1516.9499510000001</v>
      </c>
      <c r="F633" s="4">
        <v>514.20001200000002</v>
      </c>
      <c r="G633" s="3">
        <f>IF('Value at Risk'!$C$5=0,'Market Data - EQ'!B633-'Market Data - EQ'!B634,IF('Value at Risk'!$C$6=0,('Market Data - EQ'!B633-'Market Data - EQ'!B634)/'Market Data - EQ'!B634,LN('Market Data - EQ'!B633/'Market Data - EQ'!B634)))</f>
        <v>1.1288300766856617E-3</v>
      </c>
      <c r="H633" s="3">
        <f>IF('Value at Risk'!$C$5=0,'Market Data - EQ'!C633-'Market Data - EQ'!C634,IF('Value at Risk'!$C$6=0,('Market Data - EQ'!C633-'Market Data - EQ'!C634)/'Market Data - EQ'!C634,LN('Market Data - EQ'!C633/'Market Data - EQ'!C634)))</f>
        <v>1.1312217667060954E-2</v>
      </c>
      <c r="I633" s="3">
        <f>IF('Value at Risk'!$C$5=0,'Market Data - EQ'!D633-'Market Data - EQ'!D634,IF('Value at Risk'!$C$6=0,('Market Data - EQ'!D633-'Market Data - EQ'!D634)/'Market Data - EQ'!D634,LN('Market Data - EQ'!D633/'Market Data - EQ'!D634)))</f>
        <v>1.8027004998537863E-2</v>
      </c>
      <c r="J633" s="3">
        <f>IF('Value at Risk'!$C$5=0,'Market Data - EQ'!E633-'Market Data - EQ'!E634,IF('Value at Risk'!$C$6=0,('Market Data - EQ'!E633-'Market Data - EQ'!E634)/'Market Data - EQ'!E634,LN('Market Data - EQ'!E633/'Market Data - EQ'!E634)))</f>
        <v>3.9377571144937496E-3</v>
      </c>
      <c r="K633" s="3">
        <f>IF('Value at Risk'!$C$5=0,'Market Data - EQ'!F633-'Market Data - EQ'!F634,IF('Value at Risk'!$C$6=0,('Market Data - EQ'!F633-'Market Data - EQ'!F634)/'Market Data - EQ'!F634,LN('Market Data - EQ'!F633/'Market Data - EQ'!F634)))</f>
        <v>7.840062536102017E-3</v>
      </c>
      <c r="L633" s="8">
        <f t="shared" si="9"/>
        <v>8.4491744785760488E-3</v>
      </c>
    </row>
    <row r="634" spans="1:12" x14ac:dyDescent="0.25">
      <c r="A634" s="5">
        <v>42892</v>
      </c>
      <c r="B634" s="4">
        <v>819.47497599999997</v>
      </c>
      <c r="C634" s="4">
        <v>287.29998799999998</v>
      </c>
      <c r="D634" s="4">
        <v>289.95498700000002</v>
      </c>
      <c r="E634" s="4">
        <v>1511</v>
      </c>
      <c r="F634" s="4">
        <v>510.20001200000002</v>
      </c>
      <c r="G634" s="3">
        <f>IF('Value at Risk'!$C$5=0,'Market Data - EQ'!B634-'Market Data - EQ'!B635,IF('Value at Risk'!$C$6=0,('Market Data - EQ'!B634-'Market Data - EQ'!B635)/'Market Data - EQ'!B635,LN('Market Data - EQ'!B634/'Market Data - EQ'!B635)))</f>
        <v>2.0787526521474434E-3</v>
      </c>
      <c r="H634" s="3">
        <f>IF('Value at Risk'!$C$5=0,'Market Data - EQ'!C634-'Market Data - EQ'!C635,IF('Value at Risk'!$C$6=0,('Market Data - EQ'!C634-'Market Data - EQ'!C635)/'Market Data - EQ'!C635,LN('Market Data - EQ'!C634/'Market Data - EQ'!C635)))</f>
        <v>1.7402262837244497E-4</v>
      </c>
      <c r="I634" s="3">
        <f>IF('Value at Risk'!$C$5=0,'Market Data - EQ'!D634-'Market Data - EQ'!D635,IF('Value at Risk'!$C$6=0,('Market Data - EQ'!D634-'Market Data - EQ'!D635)/'Market Data - EQ'!D635,LN('Market Data - EQ'!D634/'Market Data - EQ'!D635)))</f>
        <v>-2.5010835982014592E-3</v>
      </c>
      <c r="J634" s="3">
        <f>IF('Value at Risk'!$C$5=0,'Market Data - EQ'!E634-'Market Data - EQ'!E635,IF('Value at Risk'!$C$6=0,('Market Data - EQ'!E634-'Market Data - EQ'!E635)/'Market Data - EQ'!E635,LN('Market Data - EQ'!E634/'Market Data - EQ'!E635)))</f>
        <v>3.8199634612190664E-3</v>
      </c>
      <c r="K634" s="3">
        <f>IF('Value at Risk'!$C$5=0,'Market Data - EQ'!F634-'Market Data - EQ'!F635,IF('Value at Risk'!$C$6=0,('Market Data - EQ'!F634-'Market Data - EQ'!F635)/'Market Data - EQ'!F635,LN('Market Data - EQ'!F634/'Market Data - EQ'!F635)))</f>
        <v>-6.7166588899059704E-3</v>
      </c>
      <c r="L634" s="8">
        <f t="shared" si="9"/>
        <v>-6.2900074927369496E-4</v>
      </c>
    </row>
    <row r="635" spans="1:12" x14ac:dyDescent="0.25">
      <c r="A635" s="5">
        <v>42891</v>
      </c>
      <c r="B635" s="4">
        <v>817.77502400000003</v>
      </c>
      <c r="C635" s="4">
        <v>287.25</v>
      </c>
      <c r="D635" s="4">
        <v>290.682007</v>
      </c>
      <c r="E635" s="4">
        <v>1505.25</v>
      </c>
      <c r="F635" s="4">
        <v>513.65002400000003</v>
      </c>
      <c r="G635" s="3">
        <f>IF('Value at Risk'!$C$5=0,'Market Data - EQ'!B635-'Market Data - EQ'!B636,IF('Value at Risk'!$C$6=0,('Market Data - EQ'!B635-'Market Data - EQ'!B636)/'Market Data - EQ'!B636,LN('Market Data - EQ'!B635/'Market Data - EQ'!B636)))</f>
        <v>7.9550130029069032E-4</v>
      </c>
      <c r="H635" s="3">
        <f>IF('Value at Risk'!$C$5=0,'Market Data - EQ'!C635-'Market Data - EQ'!C636,IF('Value at Risk'!$C$6=0,('Market Data - EQ'!C635-'Market Data - EQ'!C636)/'Market Data - EQ'!C636,LN('Market Data - EQ'!C635/'Market Data - EQ'!C636)))</f>
        <v>6.9678456144027143E-4</v>
      </c>
      <c r="I635" s="3">
        <f>IF('Value at Risk'!$C$5=0,'Market Data - EQ'!D635-'Market Data - EQ'!D636,IF('Value at Risk'!$C$6=0,('Market Data - EQ'!D635-'Market Data - EQ'!D636)/'Market Data - EQ'!D636,LN('Market Data - EQ'!D635/'Market Data - EQ'!D636)))</f>
        <v>5.030709616692405E-3</v>
      </c>
      <c r="J635" s="3">
        <f>IF('Value at Risk'!$C$5=0,'Market Data - EQ'!E635-'Market Data - EQ'!E636,IF('Value at Risk'!$C$6=0,('Market Data - EQ'!E635-'Market Data - EQ'!E636)/'Market Data - EQ'!E636,LN('Market Data - EQ'!E635/'Market Data - EQ'!E636)))</f>
        <v>-6.1404699079706309E-3</v>
      </c>
      <c r="K635" s="3">
        <f>IF('Value at Risk'!$C$5=0,'Market Data - EQ'!F635-'Market Data - EQ'!F636,IF('Value at Risk'!$C$6=0,('Market Data - EQ'!F635-'Market Data - EQ'!F636)/'Market Data - EQ'!F636,LN('Market Data - EQ'!F635/'Market Data - EQ'!F636)))</f>
        <v>1.1022608271373576E-2</v>
      </c>
      <c r="L635" s="8">
        <f t="shared" si="9"/>
        <v>2.2810267683652623E-3</v>
      </c>
    </row>
    <row r="636" spans="1:12" x14ac:dyDescent="0.25">
      <c r="A636" s="5">
        <v>42888</v>
      </c>
      <c r="B636" s="4">
        <v>817.125</v>
      </c>
      <c r="C636" s="4">
        <v>287.04998799999998</v>
      </c>
      <c r="D636" s="4">
        <v>289.22699</v>
      </c>
      <c r="E636" s="4">
        <v>1514.5500489999999</v>
      </c>
      <c r="F636" s="4">
        <v>508.04998799999998</v>
      </c>
      <c r="G636" s="3">
        <f>IF('Value at Risk'!$C$5=0,'Market Data - EQ'!B636-'Market Data - EQ'!B637,IF('Value at Risk'!$C$6=0,('Market Data - EQ'!B636-'Market Data - EQ'!B637)/'Market Data - EQ'!B637,LN('Market Data - EQ'!B636/'Market Data - EQ'!B637)))</f>
        <v>3.4692521695088314E-3</v>
      </c>
      <c r="H636" s="3">
        <f>IF('Value at Risk'!$C$5=0,'Market Data - EQ'!C636-'Market Data - EQ'!C637,IF('Value at Risk'!$C$6=0,('Market Data - EQ'!C636-'Market Data - EQ'!C637)/'Market Data - EQ'!C637,LN('Market Data - EQ'!C636/'Market Data - EQ'!C637)))</f>
        <v>-1.3916297905739183E-3</v>
      </c>
      <c r="I636" s="3">
        <f>IF('Value at Risk'!$C$5=0,'Market Data - EQ'!D636-'Market Data - EQ'!D637,IF('Value at Risk'!$C$6=0,('Market Data - EQ'!D636-'Market Data - EQ'!D637)/'Market Data - EQ'!D637,LN('Market Data - EQ'!D636/'Market Data - EQ'!D637)))</f>
        <v>-6.0928178694158053E-3</v>
      </c>
      <c r="J636" s="3">
        <f>IF('Value at Risk'!$C$5=0,'Market Data - EQ'!E636-'Market Data - EQ'!E637,IF('Value at Risk'!$C$6=0,('Market Data - EQ'!E636-'Market Data - EQ'!E637)/'Market Data - EQ'!E637,LN('Market Data - EQ'!E636/'Market Data - EQ'!E637)))</f>
        <v>1.9487125382129097E-2</v>
      </c>
      <c r="K636" s="3">
        <f>IF('Value at Risk'!$C$5=0,'Market Data - EQ'!F636-'Market Data - EQ'!F637,IF('Value at Risk'!$C$6=0,('Market Data - EQ'!F636-'Market Data - EQ'!F637)/'Market Data - EQ'!F637,LN('Market Data - EQ'!F636/'Market Data - EQ'!F637)))</f>
        <v>-2.4543491644456903E-3</v>
      </c>
      <c r="L636" s="8">
        <f t="shared" si="9"/>
        <v>2.6035161454405027E-3</v>
      </c>
    </row>
    <row r="637" spans="1:12" x14ac:dyDescent="0.25">
      <c r="A637" s="5">
        <v>42887</v>
      </c>
      <c r="B637" s="4">
        <v>814.29998799999998</v>
      </c>
      <c r="C637" s="4">
        <v>287.45001200000002</v>
      </c>
      <c r="D637" s="4">
        <v>291</v>
      </c>
      <c r="E637" s="4">
        <v>1485.599976</v>
      </c>
      <c r="F637" s="4">
        <v>509.29998799999998</v>
      </c>
      <c r="G637" s="3">
        <f>IF('Value at Risk'!$C$5=0,'Market Data - EQ'!B637-'Market Data - EQ'!B638,IF('Value at Risk'!$C$6=0,('Market Data - EQ'!B637-'Market Data - EQ'!B638)/'Market Data - EQ'!B638,LN('Market Data - EQ'!B637/'Market Data - EQ'!B638)))</f>
        <v>-4.6448944034683422E-3</v>
      </c>
      <c r="H637" s="3">
        <f>IF('Value at Risk'!$C$5=0,'Market Data - EQ'!C637-'Market Data - EQ'!C638,IF('Value at Risk'!$C$6=0,('Market Data - EQ'!C637-'Market Data - EQ'!C638)/'Market Data - EQ'!C638,LN('Market Data - EQ'!C637/'Market Data - EQ'!C638)))</f>
        <v>-2.9482346006895069E-3</v>
      </c>
      <c r="I637" s="3">
        <f>IF('Value at Risk'!$C$5=0,'Market Data - EQ'!D637-'Market Data - EQ'!D638,IF('Value at Risk'!$C$6=0,('Market Data - EQ'!D637-'Market Data - EQ'!D638)/'Market Data - EQ'!D638,LN('Market Data - EQ'!D637/'Market Data - EQ'!D638)))</f>
        <v>-1.9452611273511698E-2</v>
      </c>
      <c r="J637" s="3">
        <f>IF('Value at Risk'!$C$5=0,'Market Data - EQ'!E637-'Market Data - EQ'!E638,IF('Value at Risk'!$C$6=0,('Market Data - EQ'!E637-'Market Data - EQ'!E638)/'Market Data - EQ'!E638,LN('Market Data - EQ'!E637/'Market Data - EQ'!E638)))</f>
        <v>3.3092626204861094E-3</v>
      </c>
      <c r="K637" s="3">
        <f>IF('Value at Risk'!$C$5=0,'Market Data - EQ'!F637-'Market Data - EQ'!F638,IF('Value at Risk'!$C$6=0,('Market Data - EQ'!F637-'Market Data - EQ'!F638)/'Market Data - EQ'!F638,LN('Market Data - EQ'!F637/'Market Data - EQ'!F638)))</f>
        <v>-9.2403464855250611E-3</v>
      </c>
      <c r="L637" s="8">
        <f t="shared" si="9"/>
        <v>-6.5953648285416999E-3</v>
      </c>
    </row>
    <row r="638" spans="1:12" x14ac:dyDescent="0.25">
      <c r="A638" s="5">
        <v>42886</v>
      </c>
      <c r="B638" s="4">
        <v>818.09997599999997</v>
      </c>
      <c r="C638" s="4">
        <v>288.29998799999998</v>
      </c>
      <c r="D638" s="4">
        <v>296.77301</v>
      </c>
      <c r="E638" s="4">
        <v>1480.6999510000001</v>
      </c>
      <c r="F638" s="4">
        <v>514.04998799999998</v>
      </c>
      <c r="G638" s="3">
        <f>IF('Value at Risk'!$C$5=0,'Market Data - EQ'!B638-'Market Data - EQ'!B639,IF('Value at Risk'!$C$6=0,('Market Data - EQ'!B638-'Market Data - EQ'!B639)/'Market Data - EQ'!B639,LN('Market Data - EQ'!B638/'Market Data - EQ'!B639)))</f>
        <v>4.3890020498620549E-3</v>
      </c>
      <c r="H638" s="3">
        <f>IF('Value at Risk'!$C$5=0,'Market Data - EQ'!C638-'Market Data - EQ'!C639,IF('Value at Risk'!$C$6=0,('Market Data - EQ'!C638-'Market Data - EQ'!C639)/'Market Data - EQ'!C639,LN('Market Data - EQ'!C638/'Market Data - EQ'!C639)))</f>
        <v>-1.904164751860946E-3</v>
      </c>
      <c r="I638" s="3">
        <f>IF('Value at Risk'!$C$5=0,'Market Data - EQ'!D638-'Market Data - EQ'!D639,IF('Value at Risk'!$C$6=0,('Market Data - EQ'!D638-'Market Data - EQ'!D639)/'Market Data - EQ'!D639,LN('Market Data - EQ'!D638/'Market Data - EQ'!D639)))</f>
        <v>1.5712819030639352E-2</v>
      </c>
      <c r="J638" s="3">
        <f>IF('Value at Risk'!$C$5=0,'Market Data - EQ'!E638-'Market Data - EQ'!E639,IF('Value at Risk'!$C$6=0,('Market Data - EQ'!E638-'Market Data - EQ'!E639)/'Market Data - EQ'!E639,LN('Market Data - EQ'!E638/'Market Data - EQ'!E639)))</f>
        <v>4.6476745337342843E-3</v>
      </c>
      <c r="K638" s="3">
        <f>IF('Value at Risk'!$C$5=0,'Market Data - EQ'!F638-'Market Data - EQ'!F639,IF('Value at Risk'!$C$6=0,('Market Data - EQ'!F638-'Market Data - EQ'!F639)/'Market Data - EQ'!F639,LN('Market Data - EQ'!F638/'Market Data - EQ'!F639)))</f>
        <v>-6.8047430728744585E-4</v>
      </c>
      <c r="L638" s="8">
        <f t="shared" si="9"/>
        <v>4.43297131101746E-3</v>
      </c>
    </row>
    <row r="639" spans="1:12" x14ac:dyDescent="0.25">
      <c r="A639" s="5">
        <v>42885</v>
      </c>
      <c r="B639" s="4">
        <v>814.52502400000003</v>
      </c>
      <c r="C639" s="4">
        <v>288.85000600000001</v>
      </c>
      <c r="D639" s="4">
        <v>292.182007</v>
      </c>
      <c r="E639" s="4">
        <v>1473.849976</v>
      </c>
      <c r="F639" s="4">
        <v>514.40002400000003</v>
      </c>
      <c r="G639" s="3">
        <f>IF('Value at Risk'!$C$5=0,'Market Data - EQ'!B639-'Market Data - EQ'!B640,IF('Value at Risk'!$C$6=0,('Market Data - EQ'!B639-'Market Data - EQ'!B640)/'Market Data - EQ'!B640,LN('Market Data - EQ'!B639/'Market Data - EQ'!B640)))</f>
        <v>-1.7464158086193946E-3</v>
      </c>
      <c r="H639" s="3">
        <f>IF('Value at Risk'!$C$5=0,'Market Data - EQ'!C639-'Market Data - EQ'!C640,IF('Value at Risk'!$C$6=0,('Market Data - EQ'!C639-'Market Data - EQ'!C640)/'Market Data - EQ'!C640,LN('Market Data - EQ'!C639/'Market Data - EQ'!C640)))</f>
        <v>1.7077485915492983E-2</v>
      </c>
      <c r="I639" s="3">
        <f>IF('Value at Risk'!$C$5=0,'Market Data - EQ'!D639-'Market Data - EQ'!D640,IF('Value at Risk'!$C$6=0,('Market Data - EQ'!D639-'Market Data - EQ'!D640)/'Market Data - EQ'!D640,LN('Market Data - EQ'!D639/'Market Data - EQ'!D640)))</f>
        <v>2.0641125057510659E-2</v>
      </c>
      <c r="J639" s="3">
        <f>IF('Value at Risk'!$C$5=0,'Market Data - EQ'!E639-'Market Data - EQ'!E640,IF('Value at Risk'!$C$6=0,('Market Data - EQ'!E639-'Market Data - EQ'!E640)/'Market Data - EQ'!E640,LN('Market Data - EQ'!E639/'Market Data - EQ'!E640)))</f>
        <v>-1.1303398104156833E-2</v>
      </c>
      <c r="K639" s="3">
        <f>IF('Value at Risk'!$C$5=0,'Market Data - EQ'!F639-'Market Data - EQ'!F640,IF('Value at Risk'!$C$6=0,('Market Data - EQ'!F639-'Market Data - EQ'!F640)/'Market Data - EQ'!F640,LN('Market Data - EQ'!F639/'Market Data - EQ'!F640)))</f>
        <v>1.4095660916707798E-2</v>
      </c>
      <c r="L639" s="8">
        <f t="shared" si="9"/>
        <v>7.7528915953870414E-3</v>
      </c>
    </row>
    <row r="640" spans="1:12" x14ac:dyDescent="0.25">
      <c r="A640" s="5">
        <v>42884</v>
      </c>
      <c r="B640" s="4">
        <v>815.95001200000002</v>
      </c>
      <c r="C640" s="4">
        <v>284</v>
      </c>
      <c r="D640" s="4">
        <v>286.27301</v>
      </c>
      <c r="E640" s="4">
        <v>1490.6999510000001</v>
      </c>
      <c r="F640" s="4">
        <v>507.25</v>
      </c>
      <c r="G640" s="3">
        <f>IF('Value at Risk'!$C$5=0,'Market Data - EQ'!B640-'Market Data - EQ'!B641,IF('Value at Risk'!$C$6=0,('Market Data - EQ'!B640-'Market Data - EQ'!B641)/'Market Data - EQ'!B641,LN('Market Data - EQ'!B640/'Market Data - EQ'!B641)))</f>
        <v>3.6285510455104737E-3</v>
      </c>
      <c r="H640" s="3">
        <f>IF('Value at Risk'!$C$5=0,'Market Data - EQ'!C640-'Market Data - EQ'!C641,IF('Value at Risk'!$C$6=0,('Market Data - EQ'!C640-'Market Data - EQ'!C641)/'Market Data - EQ'!C641,LN('Market Data - EQ'!C640/'Market Data - EQ'!C641)))</f>
        <v>-1.5427324717878726E-2</v>
      </c>
      <c r="I640" s="3">
        <f>IF('Value at Risk'!$C$5=0,'Market Data - EQ'!D640-'Market Data - EQ'!D641,IF('Value at Risk'!$C$6=0,('Market Data - EQ'!D640-'Market Data - EQ'!D641)/'Market Data - EQ'!D641,LN('Market Data - EQ'!D640/'Market Data - EQ'!D641)))</f>
        <v>-2.0679476271582099E-2</v>
      </c>
      <c r="J640" s="3">
        <f>IF('Value at Risk'!$C$5=0,'Market Data - EQ'!E640-'Market Data - EQ'!E641,IF('Value at Risk'!$C$6=0,('Market Data - EQ'!E640-'Market Data - EQ'!E641)/'Market Data - EQ'!E641,LN('Market Data - EQ'!E640/'Market Data - EQ'!E641)))</f>
        <v>8.7974557968974309E-3</v>
      </c>
      <c r="K640" s="3">
        <f>IF('Value at Risk'!$C$5=0,'Market Data - EQ'!F640-'Market Data - EQ'!F641,IF('Value at Risk'!$C$6=0,('Market Data - EQ'!F640-'Market Data - EQ'!F641)/'Market Data - EQ'!F641,LN('Market Data - EQ'!F640/'Market Data - EQ'!F641)))</f>
        <v>-8.2119696968547835E-3</v>
      </c>
      <c r="L640" s="8">
        <f t="shared" si="9"/>
        <v>-6.3785527687815393E-3</v>
      </c>
    </row>
    <row r="641" spans="1:12" x14ac:dyDescent="0.25">
      <c r="A641" s="5">
        <v>42881</v>
      </c>
      <c r="B641" s="4">
        <v>813</v>
      </c>
      <c r="C641" s="4">
        <v>288.45001200000002</v>
      </c>
      <c r="D641" s="4">
        <v>292.317993</v>
      </c>
      <c r="E641" s="4">
        <v>1477.6999510000001</v>
      </c>
      <c r="F641" s="4">
        <v>511.45001200000002</v>
      </c>
      <c r="G641" s="3">
        <f>IF('Value at Risk'!$C$5=0,'Market Data - EQ'!B641-'Market Data - EQ'!B642,IF('Value at Risk'!$C$6=0,('Market Data - EQ'!B641-'Market Data - EQ'!B642)/'Market Data - EQ'!B642,LN('Market Data - EQ'!B641/'Market Data - EQ'!B642)))</f>
        <v>5.4725757466271849E-3</v>
      </c>
      <c r="H641" s="3">
        <f>IF('Value at Risk'!$C$5=0,'Market Data - EQ'!C641-'Market Data - EQ'!C642,IF('Value at Risk'!$C$6=0,('Market Data - EQ'!C641-'Market Data - EQ'!C642)/'Market Data - EQ'!C642,LN('Market Data - EQ'!C641/'Market Data - EQ'!C642)))</f>
        <v>-5.687673098496911E-3</v>
      </c>
      <c r="I641" s="3">
        <f>IF('Value at Risk'!$C$5=0,'Market Data - EQ'!D641-'Market Data - EQ'!D642,IF('Value at Risk'!$C$6=0,('Market Data - EQ'!D641-'Market Data - EQ'!D642)/'Market Data - EQ'!D642,LN('Market Data - EQ'!D641/'Market Data - EQ'!D642)))</f>
        <v>1.2118358567778013E-2</v>
      </c>
      <c r="J641" s="3">
        <f>IF('Value at Risk'!$C$5=0,'Market Data - EQ'!E641-'Market Data - EQ'!E642,IF('Value at Risk'!$C$6=0,('Market Data - EQ'!E641-'Market Data - EQ'!E642)/'Market Data - EQ'!E642,LN('Market Data - EQ'!E641/'Market Data - EQ'!E642)))</f>
        <v>1.1015308746830526E-2</v>
      </c>
      <c r="K641" s="3">
        <f>IF('Value at Risk'!$C$5=0,'Market Data - EQ'!F641-'Market Data - EQ'!F642,IF('Value at Risk'!$C$6=0,('Market Data - EQ'!F641-'Market Data - EQ'!F642)/'Market Data - EQ'!F642,LN('Market Data - EQ'!F641/'Market Data - EQ'!F642)))</f>
        <v>7.8825498185228146E-3</v>
      </c>
      <c r="L641" s="8">
        <f t="shared" si="9"/>
        <v>6.160223956252325E-3</v>
      </c>
    </row>
    <row r="642" spans="1:12" x14ac:dyDescent="0.25">
      <c r="A642" s="5">
        <v>42880</v>
      </c>
      <c r="B642" s="4">
        <v>808.57501200000002</v>
      </c>
      <c r="C642" s="4">
        <v>290.10000600000001</v>
      </c>
      <c r="D642" s="4">
        <v>288.817993</v>
      </c>
      <c r="E642" s="4">
        <v>1461.599976</v>
      </c>
      <c r="F642" s="4">
        <v>507.45001200000002</v>
      </c>
      <c r="G642" s="3">
        <f>IF('Value at Risk'!$C$5=0,'Market Data - EQ'!B642-'Market Data - EQ'!B643,IF('Value at Risk'!$C$6=0,('Market Data - EQ'!B642-'Market Data - EQ'!B643)/'Market Data - EQ'!B643,LN('Market Data - EQ'!B642/'Market Data - EQ'!B643)))</f>
        <v>3.2168516993776944E-2</v>
      </c>
      <c r="H642" s="3">
        <f>IF('Value at Risk'!$C$5=0,'Market Data - EQ'!C642-'Market Data - EQ'!C643,IF('Value at Risk'!$C$6=0,('Market Data - EQ'!C642-'Market Data - EQ'!C643)/'Market Data - EQ'!C643,LN('Market Data - EQ'!C642/'Market Data - EQ'!C643)))</f>
        <v>2.4545336914257591E-2</v>
      </c>
      <c r="I642" s="3">
        <f>IF('Value at Risk'!$C$5=0,'Market Data - EQ'!D642-'Market Data - EQ'!D643,IF('Value at Risk'!$C$6=0,('Market Data - EQ'!D642-'Market Data - EQ'!D643)/'Market Data - EQ'!D643,LN('Market Data - EQ'!D642/'Market Data - EQ'!D643)))</f>
        <v>3.586569106391925E-2</v>
      </c>
      <c r="J642" s="3">
        <f>IF('Value at Risk'!$C$5=0,'Market Data - EQ'!E642-'Market Data - EQ'!E643,IF('Value at Risk'!$C$6=0,('Market Data - EQ'!E642-'Market Data - EQ'!E643)/'Market Data - EQ'!E643,LN('Market Data - EQ'!E642/'Market Data - EQ'!E643)))</f>
        <v>3.3955857961899115E-2</v>
      </c>
      <c r="K642" s="3">
        <f>IF('Value at Risk'!$C$5=0,'Market Data - EQ'!F642-'Market Data - EQ'!F643,IF('Value at Risk'!$C$6=0,('Market Data - EQ'!F642-'Market Data - EQ'!F643)/'Market Data - EQ'!F643,LN('Market Data - EQ'!F642/'Market Data - EQ'!F643)))</f>
        <v>1.6322900452383007E-2</v>
      </c>
      <c r="L642" s="8">
        <f t="shared" si="9"/>
        <v>2.8571660677247181E-2</v>
      </c>
    </row>
    <row r="643" spans="1:12" x14ac:dyDescent="0.25">
      <c r="A643" s="5">
        <v>42879</v>
      </c>
      <c r="B643" s="4">
        <v>783.375</v>
      </c>
      <c r="C643" s="4">
        <v>283.14999399999999</v>
      </c>
      <c r="D643" s="4">
        <v>278.817993</v>
      </c>
      <c r="E643" s="4">
        <v>1413.599976</v>
      </c>
      <c r="F643" s="4">
        <v>499.29998799999998</v>
      </c>
      <c r="G643" s="3">
        <f>IF('Value at Risk'!$C$5=0,'Market Data - EQ'!B643-'Market Data - EQ'!B644,IF('Value at Risk'!$C$6=0,('Market Data - EQ'!B643-'Market Data - EQ'!B644)/'Market Data - EQ'!B644,LN('Market Data - EQ'!B643/'Market Data - EQ'!B644)))</f>
        <v>-1.4976585532749825E-3</v>
      </c>
      <c r="H643" s="3">
        <f>IF('Value at Risk'!$C$5=0,'Market Data - EQ'!C643-'Market Data - EQ'!C644,IF('Value at Risk'!$C$6=0,('Market Data - EQ'!C643-'Market Data - EQ'!C644)/'Market Data - EQ'!C644,LN('Market Data - EQ'!C643/'Market Data - EQ'!C644)))</f>
        <v>-1.9733466787603304E-2</v>
      </c>
      <c r="I643" s="3">
        <f>IF('Value at Risk'!$C$5=0,'Market Data - EQ'!D643-'Market Data - EQ'!D644,IF('Value at Risk'!$C$6=0,('Market Data - EQ'!D643-'Market Data - EQ'!D644)/'Market Data - EQ'!D644,LN('Market Data - EQ'!D643/'Market Data - EQ'!D644)))</f>
        <v>2.1241756595936313E-3</v>
      </c>
      <c r="J643" s="3">
        <f>IF('Value at Risk'!$C$5=0,'Market Data - EQ'!E643-'Market Data - EQ'!E644,IF('Value at Risk'!$C$6=0,('Market Data - EQ'!E643-'Market Data - EQ'!E644)/'Market Data - EQ'!E644,LN('Market Data - EQ'!E643/'Market Data - EQ'!E644)))</f>
        <v>1.4096650303623356E-2</v>
      </c>
      <c r="K643" s="3">
        <f>IF('Value at Risk'!$C$5=0,'Market Data - EQ'!F643-'Market Data - EQ'!F644,IF('Value at Risk'!$C$6=0,('Market Data - EQ'!F643-'Market Data - EQ'!F644)/'Market Data - EQ'!F644,LN('Market Data - EQ'!F643/'Market Data - EQ'!F644)))</f>
        <v>-2.5969196652387231E-3</v>
      </c>
      <c r="L643" s="8">
        <f t="shared" si="9"/>
        <v>-1.5214438085800045E-3</v>
      </c>
    </row>
    <row r="644" spans="1:12" x14ac:dyDescent="0.25">
      <c r="A644" s="5">
        <v>42878</v>
      </c>
      <c r="B644" s="4">
        <v>784.54998799999998</v>
      </c>
      <c r="C644" s="4">
        <v>288.85000600000001</v>
      </c>
      <c r="D644" s="4">
        <v>278.22699</v>
      </c>
      <c r="E644" s="4">
        <v>1393.9499510000001</v>
      </c>
      <c r="F644" s="4">
        <v>500.60000600000001</v>
      </c>
      <c r="G644" s="3">
        <f>IF('Value at Risk'!$C$5=0,'Market Data - EQ'!B644-'Market Data - EQ'!B645,IF('Value at Risk'!$C$6=0,('Market Data - EQ'!B644-'Market Data - EQ'!B645)/'Market Data - EQ'!B645,LN('Market Data - EQ'!B644/'Market Data - EQ'!B645)))</f>
        <v>-4.3781878172589024E-3</v>
      </c>
      <c r="H644" s="3">
        <f>IF('Value at Risk'!$C$5=0,'Market Data - EQ'!C644-'Market Data - EQ'!C645,IF('Value at Risk'!$C$6=0,('Market Data - EQ'!C644-'Market Data - EQ'!C645)/'Market Data - EQ'!C645,LN('Market Data - EQ'!C644/'Market Data - EQ'!C645)))</f>
        <v>-1.8518458111523868E-2</v>
      </c>
      <c r="I644" s="3">
        <f>IF('Value at Risk'!$C$5=0,'Market Data - EQ'!D644-'Market Data - EQ'!D645,IF('Value at Risk'!$C$6=0,('Market Data - EQ'!D644-'Market Data - EQ'!D645)/'Market Data - EQ'!D645,LN('Market Data - EQ'!D644/'Market Data - EQ'!D645)))</f>
        <v>7.2404220890941902E-3</v>
      </c>
      <c r="J644" s="3">
        <f>IF('Value at Risk'!$C$5=0,'Market Data - EQ'!E644-'Market Data - EQ'!E645,IF('Value at Risk'!$C$6=0,('Market Data - EQ'!E644-'Market Data - EQ'!E645)/'Market Data - EQ'!E645,LN('Market Data - EQ'!E644/'Market Data - EQ'!E645)))</f>
        <v>3.3469386280861719E-3</v>
      </c>
      <c r="K644" s="3">
        <f>IF('Value at Risk'!$C$5=0,'Market Data - EQ'!F644-'Market Data - EQ'!F645,IF('Value at Risk'!$C$6=0,('Market Data - EQ'!F644-'Market Data - EQ'!F645)/'Market Data - EQ'!F645,LN('Market Data - EQ'!F644/'Market Data - EQ'!F645)))</f>
        <v>-3.3843958602682214E-3</v>
      </c>
      <c r="L644" s="8">
        <f t="shared" ref="L644:L707" si="10">AVERAGE(G644:K644)</f>
        <v>-3.1387362143741257E-3</v>
      </c>
    </row>
    <row r="645" spans="1:12" x14ac:dyDescent="0.25">
      <c r="A645" s="5">
        <v>42877</v>
      </c>
      <c r="B645" s="4">
        <v>788</v>
      </c>
      <c r="C645" s="4">
        <v>294.29998799999998</v>
      </c>
      <c r="D645" s="4">
        <v>276.22699</v>
      </c>
      <c r="E645" s="4">
        <v>1389.3000489999999</v>
      </c>
      <c r="F645" s="4">
        <v>502.29998799999998</v>
      </c>
      <c r="G645" s="3">
        <f>IF('Value at Risk'!$C$5=0,'Market Data - EQ'!B645-'Market Data - EQ'!B646,IF('Value at Risk'!$C$6=0,('Market Data - EQ'!B645-'Market Data - EQ'!B646)/'Market Data - EQ'!B646,LN('Market Data - EQ'!B645/'Market Data - EQ'!B646)))</f>
        <v>9.4475580464371493E-3</v>
      </c>
      <c r="H645" s="3">
        <f>IF('Value at Risk'!$C$5=0,'Market Data - EQ'!C645-'Market Data - EQ'!C646,IF('Value at Risk'!$C$6=0,('Market Data - EQ'!C645-'Market Data - EQ'!C646)/'Market Data - EQ'!C646,LN('Market Data - EQ'!C645/'Market Data - EQ'!C646)))</f>
        <v>-4.4480558441558488E-2</v>
      </c>
      <c r="I645" s="3">
        <f>IF('Value at Risk'!$C$5=0,'Market Data - EQ'!D645-'Market Data - EQ'!D646,IF('Value at Risk'!$C$6=0,('Market Data - EQ'!D645-'Market Data - EQ'!D646)/'Market Data - EQ'!D646,LN('Market Data - EQ'!D645/'Market Data - EQ'!D646)))</f>
        <v>-1.0421429503539546E-2</v>
      </c>
      <c r="J645" s="3">
        <f>IF('Value at Risk'!$C$5=0,'Market Data - EQ'!E645-'Market Data - EQ'!E646,IF('Value at Risk'!$C$6=0,('Market Data - EQ'!E645-'Market Data - EQ'!E646)/'Market Data - EQ'!E646,LN('Market Data - EQ'!E645/'Market Data - EQ'!E646)))</f>
        <v>3.6025913262511786E-5</v>
      </c>
      <c r="K645" s="3">
        <f>IF('Value at Risk'!$C$5=0,'Market Data - EQ'!F645-'Market Data - EQ'!F646,IF('Value at Risk'!$C$6=0,('Market Data - EQ'!F645-'Market Data - EQ'!F646)/'Market Data - EQ'!F646,LN('Market Data - EQ'!F645/'Market Data - EQ'!F646)))</f>
        <v>1.1958859590379472E-3</v>
      </c>
      <c r="L645" s="8">
        <f t="shared" si="10"/>
        <v>-8.844503605272086E-3</v>
      </c>
    </row>
    <row r="646" spans="1:12" x14ac:dyDescent="0.25">
      <c r="A646" s="5">
        <v>42874</v>
      </c>
      <c r="B646" s="4">
        <v>780.625</v>
      </c>
      <c r="C646" s="4">
        <v>308</v>
      </c>
      <c r="D646" s="4">
        <v>279.135986</v>
      </c>
      <c r="E646" s="4">
        <v>1389.25</v>
      </c>
      <c r="F646" s="4">
        <v>501.70001200000002</v>
      </c>
      <c r="G646" s="3">
        <f>IF('Value at Risk'!$C$5=0,'Market Data - EQ'!B646-'Market Data - EQ'!B647,IF('Value at Risk'!$C$6=0,('Market Data - EQ'!B646-'Market Data - EQ'!B647)/'Market Data - EQ'!B647,LN('Market Data - EQ'!B646/'Market Data - EQ'!B647)))</f>
        <v>2.6652264234573661E-3</v>
      </c>
      <c r="H646" s="3">
        <f>IF('Value at Risk'!$C$5=0,'Market Data - EQ'!C646-'Market Data - EQ'!C647,IF('Value at Risk'!$C$6=0,('Market Data - EQ'!C646-'Market Data - EQ'!C647)/'Market Data - EQ'!C647,LN('Market Data - EQ'!C646/'Market Data - EQ'!C647)))</f>
        <v>1.6669377124830694E-2</v>
      </c>
      <c r="I646" s="3">
        <f>IF('Value at Risk'!$C$5=0,'Market Data - EQ'!D646-'Market Data - EQ'!D647,IF('Value at Risk'!$C$6=0,('Market Data - EQ'!D646-'Market Data - EQ'!D647)/'Market Data - EQ'!D647,LN('Market Data - EQ'!D646/'Market Data - EQ'!D647)))</f>
        <v>-2.9254738726980215E-3</v>
      </c>
      <c r="J646" s="3">
        <f>IF('Value at Risk'!$C$5=0,'Market Data - EQ'!E646-'Market Data - EQ'!E647,IF('Value at Risk'!$C$6=0,('Market Data - EQ'!E646-'Market Data - EQ'!E647)/'Market Data - EQ'!E647,LN('Market Data - EQ'!E646/'Market Data - EQ'!E647)))</f>
        <v>-1.2334690954096795E-2</v>
      </c>
      <c r="K646" s="3">
        <f>IF('Value at Risk'!$C$5=0,'Market Data - EQ'!F646-'Market Data - EQ'!F647,IF('Value at Risk'!$C$6=0,('Market Data - EQ'!F646-'Market Data - EQ'!F647)/'Market Data - EQ'!F647,LN('Market Data - EQ'!F646/'Market Data - EQ'!F647)))</f>
        <v>1.9715471544715479E-2</v>
      </c>
      <c r="L646" s="8">
        <f t="shared" si="10"/>
        <v>4.7579820532417435E-3</v>
      </c>
    </row>
    <row r="647" spans="1:12" x14ac:dyDescent="0.25">
      <c r="A647" s="5">
        <v>42873</v>
      </c>
      <c r="B647" s="4">
        <v>778.54998799999998</v>
      </c>
      <c r="C647" s="4">
        <v>302.95001200000002</v>
      </c>
      <c r="D647" s="4">
        <v>279.95498700000002</v>
      </c>
      <c r="E647" s="4">
        <v>1406.599976</v>
      </c>
      <c r="F647" s="4">
        <v>492</v>
      </c>
      <c r="G647" s="3">
        <f>IF('Value at Risk'!$C$5=0,'Market Data - EQ'!B647-'Market Data - EQ'!B648,IF('Value at Risk'!$C$6=0,('Market Data - EQ'!B647-'Market Data - EQ'!B648)/'Market Data - EQ'!B648,LN('Market Data - EQ'!B647/'Market Data - EQ'!B648)))</f>
        <v>-3.2140769501128501E-5</v>
      </c>
      <c r="H647" s="3">
        <f>IF('Value at Risk'!$C$5=0,'Market Data - EQ'!C647-'Market Data - EQ'!C648,IF('Value at Risk'!$C$6=0,('Market Data - EQ'!C647-'Market Data - EQ'!C648)/'Market Data - EQ'!C648,LN('Market Data - EQ'!C647/'Market Data - EQ'!C648)))</f>
        <v>-1.5277042391231047E-2</v>
      </c>
      <c r="I647" s="3">
        <f>IF('Value at Risk'!$C$5=0,'Market Data - EQ'!D647-'Market Data - EQ'!D648,IF('Value at Risk'!$C$6=0,('Market Data - EQ'!D647-'Market Data - EQ'!D648)/'Market Data - EQ'!D648,LN('Market Data - EQ'!D647/'Market Data - EQ'!D648)))</f>
        <v>-5.8099015329690189E-3</v>
      </c>
      <c r="J647" s="3">
        <f>IF('Value at Risk'!$C$5=0,'Market Data - EQ'!E647-'Market Data - EQ'!E648,IF('Value at Risk'!$C$6=0,('Market Data - EQ'!E647-'Market Data - EQ'!E648)/'Market Data - EQ'!E648,LN('Market Data - EQ'!E647/'Market Data - EQ'!E648)))</f>
        <v>-1.3223877125097382E-2</v>
      </c>
      <c r="K647" s="3">
        <f>IF('Value at Risk'!$C$5=0,'Market Data - EQ'!F647-'Market Data - EQ'!F648,IF('Value at Risk'!$C$6=0,('Market Data - EQ'!F647-'Market Data - EQ'!F648)/'Market Data - EQ'!F648,LN('Market Data - EQ'!F647/'Market Data - EQ'!F648)))</f>
        <v>-2.147969025011191E-2</v>
      </c>
      <c r="L647" s="8">
        <f t="shared" si="10"/>
        <v>-1.1164530413782098E-2</v>
      </c>
    </row>
    <row r="648" spans="1:12" x14ac:dyDescent="0.25">
      <c r="A648" s="5">
        <v>42872</v>
      </c>
      <c r="B648" s="4">
        <v>778.57501200000002</v>
      </c>
      <c r="C648" s="4">
        <v>307.64999399999999</v>
      </c>
      <c r="D648" s="4">
        <v>281.591003</v>
      </c>
      <c r="E648" s="4">
        <v>1425.4499510000001</v>
      </c>
      <c r="F648" s="4">
        <v>502.79998799999998</v>
      </c>
      <c r="G648" s="3">
        <f>IF('Value at Risk'!$C$5=0,'Market Data - EQ'!B648-'Market Data - EQ'!B649,IF('Value at Risk'!$C$6=0,('Market Data - EQ'!B648-'Market Data - EQ'!B649)/'Market Data - EQ'!B649,LN('Market Data - EQ'!B648/'Market Data - EQ'!B649)))</f>
        <v>-1.6029237082228903E-3</v>
      </c>
      <c r="H648" s="3">
        <f>IF('Value at Risk'!$C$5=0,'Market Data - EQ'!C648-'Market Data - EQ'!C649,IF('Value at Risk'!$C$6=0,('Market Data - EQ'!C648-'Market Data - EQ'!C649)/'Market Data - EQ'!C649,LN('Market Data - EQ'!C648/'Market Data - EQ'!C649)))</f>
        <v>4.8778536585363387E-4</v>
      </c>
      <c r="I648" s="3">
        <f>IF('Value at Risk'!$C$5=0,'Market Data - EQ'!D648-'Market Data - EQ'!D649,IF('Value at Risk'!$C$6=0,('Market Data - EQ'!D648-'Market Data - EQ'!D649)/'Market Data - EQ'!D649,LN('Market Data - EQ'!D648/'Market Data - EQ'!D649)))</f>
        <v>2.3461187661580545E-2</v>
      </c>
      <c r="J648" s="3">
        <f>IF('Value at Risk'!$C$5=0,'Market Data - EQ'!E648-'Market Data - EQ'!E649,IF('Value at Risk'!$C$6=0,('Market Data - EQ'!E648-'Market Data - EQ'!E649)/'Market Data - EQ'!E649,LN('Market Data - EQ'!E648/'Market Data - EQ'!E649)))</f>
        <v>-8.0030623140332317E-3</v>
      </c>
      <c r="K648" s="3">
        <f>IF('Value at Risk'!$C$5=0,'Market Data - EQ'!F648-'Market Data - EQ'!F649,IF('Value at Risk'!$C$6=0,('Market Data - EQ'!F648-'Market Data - EQ'!F649)/'Market Data - EQ'!F649,LN('Market Data - EQ'!F648/'Market Data - EQ'!F649)))</f>
        <v>2.5921994017945858E-3</v>
      </c>
      <c r="L648" s="8">
        <f t="shared" si="10"/>
        <v>3.3870372813945291E-3</v>
      </c>
    </row>
    <row r="649" spans="1:12" x14ac:dyDescent="0.25">
      <c r="A649" s="5">
        <v>42871</v>
      </c>
      <c r="B649" s="4">
        <v>779.82501200000002</v>
      </c>
      <c r="C649" s="4">
        <v>307.5</v>
      </c>
      <c r="D649" s="4">
        <v>275.135986</v>
      </c>
      <c r="E649" s="4">
        <v>1436.9499510000001</v>
      </c>
      <c r="F649" s="4">
        <v>501.5</v>
      </c>
      <c r="G649" s="3">
        <f>IF('Value at Risk'!$C$5=0,'Market Data - EQ'!B649-'Market Data - EQ'!B650,IF('Value at Risk'!$C$6=0,('Market Data - EQ'!B649-'Market Data - EQ'!B650)/'Market Data - EQ'!B650,LN('Market Data - EQ'!B649/'Market Data - EQ'!B650)))</f>
        <v>4.0234324085474584E-3</v>
      </c>
      <c r="H649" s="3">
        <f>IF('Value at Risk'!$C$5=0,'Market Data - EQ'!C649-'Market Data - EQ'!C650,IF('Value at Risk'!$C$6=0,('Market Data - EQ'!C649-'Market Data - EQ'!C650)/'Market Data - EQ'!C650,LN('Market Data - EQ'!C649/'Market Data - EQ'!C650)))</f>
        <v>2.0238905512386995E-2</v>
      </c>
      <c r="I649" s="3">
        <f>IF('Value at Risk'!$C$5=0,'Market Data - EQ'!D649-'Market Data - EQ'!D650,IF('Value at Risk'!$C$6=0,('Market Data - EQ'!D649-'Market Data - EQ'!D650)/'Market Data - EQ'!D650,LN('Market Data - EQ'!D649/'Market Data - EQ'!D650)))</f>
        <v>2.8136780357791574E-3</v>
      </c>
      <c r="J649" s="3">
        <f>IF('Value at Risk'!$C$5=0,'Market Data - EQ'!E649-'Market Data - EQ'!E650,IF('Value at Risk'!$C$6=0,('Market Data - EQ'!E649-'Market Data - EQ'!E650)/'Market Data - EQ'!E650,LN('Market Data - EQ'!E649/'Market Data - EQ'!E650)))</f>
        <v>1.4651885833881094E-2</v>
      </c>
      <c r="K649" s="3">
        <f>IF('Value at Risk'!$C$5=0,'Market Data - EQ'!F649-'Market Data - EQ'!F650,IF('Value at Risk'!$C$6=0,('Market Data - EQ'!F649-'Market Data - EQ'!F650)/'Market Data - EQ'!F650,LN('Market Data - EQ'!F649/'Market Data - EQ'!F650)))</f>
        <v>2.7994280807906897E-3</v>
      </c>
      <c r="L649" s="8">
        <f t="shared" si="10"/>
        <v>8.9054659742770804E-3</v>
      </c>
    </row>
    <row r="650" spans="1:12" x14ac:dyDescent="0.25">
      <c r="A650" s="5">
        <v>42870</v>
      </c>
      <c r="B650" s="4">
        <v>776.70001200000002</v>
      </c>
      <c r="C650" s="4">
        <v>301.39999399999999</v>
      </c>
      <c r="D650" s="4">
        <v>274.364014</v>
      </c>
      <c r="E650" s="4">
        <v>1416.1999510000001</v>
      </c>
      <c r="F650" s="4">
        <v>500.10000600000001</v>
      </c>
      <c r="G650" s="3">
        <f>IF('Value at Risk'!$C$5=0,'Market Data - EQ'!B650-'Market Data - EQ'!B651,IF('Value at Risk'!$C$6=0,('Market Data - EQ'!B650-'Market Data - EQ'!B651)/'Market Data - EQ'!B651,LN('Market Data - EQ'!B650/'Market Data - EQ'!B651)))</f>
        <v>1.127831645623717E-3</v>
      </c>
      <c r="H650" s="3">
        <f>IF('Value at Risk'!$C$5=0,'Market Data - EQ'!C650-'Market Data - EQ'!C651,IF('Value at Risk'!$C$6=0,('Market Data - EQ'!C650-'Market Data - EQ'!C651)/'Market Data - EQ'!C651,LN('Market Data - EQ'!C650/'Market Data - EQ'!C651)))</f>
        <v>1.1748909266510425E-2</v>
      </c>
      <c r="I650" s="3">
        <f>IF('Value at Risk'!$C$5=0,'Market Data - EQ'!D650-'Market Data - EQ'!D651,IF('Value at Risk'!$C$6=0,('Market Data - EQ'!D650-'Market Data - EQ'!D651)/'Market Data - EQ'!D651,LN('Market Data - EQ'!D650/'Market Data - EQ'!D651)))</f>
        <v>1.7704637569080882E-2</v>
      </c>
      <c r="J650" s="3">
        <f>IF('Value at Risk'!$C$5=0,'Market Data - EQ'!E650-'Market Data - EQ'!E651,IF('Value at Risk'!$C$6=0,('Market Data - EQ'!E650-'Market Data - EQ'!E651)/'Market Data - EQ'!E651,LN('Market Data - EQ'!E650/'Market Data - EQ'!E651)))</f>
        <v>3.1520814591819058E-3</v>
      </c>
      <c r="K650" s="3">
        <f>IF('Value at Risk'!$C$5=0,'Market Data - EQ'!F650-'Market Data - EQ'!F651,IF('Value at Risk'!$C$6=0,('Market Data - EQ'!F650-'Market Data - EQ'!F651)/'Market Data - EQ'!F651,LN('Market Data - EQ'!F650/'Market Data - EQ'!F651)))</f>
        <v>-5.7653956262425296E-3</v>
      </c>
      <c r="L650" s="8">
        <f t="shared" si="10"/>
        <v>5.5936128628308809E-3</v>
      </c>
    </row>
    <row r="651" spans="1:12" x14ac:dyDescent="0.25">
      <c r="A651" s="5">
        <v>42867</v>
      </c>
      <c r="B651" s="4">
        <v>775.82501200000002</v>
      </c>
      <c r="C651" s="4">
        <v>297.89999399999999</v>
      </c>
      <c r="D651" s="4">
        <v>269.591003</v>
      </c>
      <c r="E651" s="4">
        <v>1411.75</v>
      </c>
      <c r="F651" s="4">
        <v>503</v>
      </c>
      <c r="G651" s="3">
        <f>IF('Value at Risk'!$C$5=0,'Market Data - EQ'!B651-'Market Data - EQ'!B652,IF('Value at Risk'!$C$6=0,('Market Data - EQ'!B651-'Market Data - EQ'!B652)/'Market Data - EQ'!B652,LN('Market Data - EQ'!B651/'Market Data - EQ'!B652)))</f>
        <v>3.3949818407400644E-3</v>
      </c>
      <c r="H651" s="3">
        <f>IF('Value at Risk'!$C$5=0,'Market Data - EQ'!C651-'Market Data - EQ'!C652,IF('Value at Risk'!$C$6=0,('Market Data - EQ'!C651-'Market Data - EQ'!C652)/'Market Data - EQ'!C652,LN('Market Data - EQ'!C651/'Market Data - EQ'!C652)))</f>
        <v>-6.7095604151049622E-4</v>
      </c>
      <c r="I651" s="3">
        <f>IF('Value at Risk'!$C$5=0,'Market Data - EQ'!D651-'Market Data - EQ'!D652,IF('Value at Risk'!$C$6=0,('Market Data - EQ'!D651-'Market Data - EQ'!D652)/'Market Data - EQ'!D652,LN('Market Data - EQ'!D651/'Market Data - EQ'!D652)))</f>
        <v>-1.2157876935072238E-2</v>
      </c>
      <c r="J651" s="3">
        <f>IF('Value at Risk'!$C$5=0,'Market Data - EQ'!E651-'Market Data - EQ'!E652,IF('Value at Risk'!$C$6=0,('Market Data - EQ'!E651-'Market Data - EQ'!E652)/'Market Data - EQ'!E652,LN('Market Data - EQ'!E651/'Market Data - EQ'!E652)))</f>
        <v>-1.0201253943867701E-2</v>
      </c>
      <c r="K651" s="3">
        <f>IF('Value at Risk'!$C$5=0,'Market Data - EQ'!F651-'Market Data - EQ'!F652,IF('Value at Risk'!$C$6=0,('Market Data - EQ'!F651-'Market Data - EQ'!F652)/'Market Data - EQ'!F652,LN('Market Data - EQ'!F651/'Market Data - EQ'!F652)))</f>
        <v>-2.6891126629160361E-2</v>
      </c>
      <c r="L651" s="8">
        <f t="shared" si="10"/>
        <v>-9.3052463417741451E-3</v>
      </c>
    </row>
    <row r="652" spans="1:12" x14ac:dyDescent="0.25">
      <c r="A652" s="5">
        <v>42866</v>
      </c>
      <c r="B652" s="4">
        <v>773.20001200000002</v>
      </c>
      <c r="C652" s="4">
        <v>298.10000600000001</v>
      </c>
      <c r="D652" s="4">
        <v>272.908997</v>
      </c>
      <c r="E652" s="4">
        <v>1426.3000489999999</v>
      </c>
      <c r="F652" s="4">
        <v>516.90002400000003</v>
      </c>
      <c r="G652" s="3">
        <f>IF('Value at Risk'!$C$5=0,'Market Data - EQ'!B652-'Market Data - EQ'!B653,IF('Value at Risk'!$C$6=0,('Market Data - EQ'!B652-'Market Data - EQ'!B653)/'Market Data - EQ'!B653,LN('Market Data - EQ'!B652/'Market Data - EQ'!B653)))</f>
        <v>-3.4798452332565144E-3</v>
      </c>
      <c r="H652" s="3">
        <f>IF('Value at Risk'!$C$5=0,'Market Data - EQ'!C652-'Market Data - EQ'!C653,IF('Value at Risk'!$C$6=0,('Market Data - EQ'!C652-'Market Data - EQ'!C653)/'Market Data - EQ'!C653,LN('Market Data - EQ'!C652/'Market Data - EQ'!C653)))</f>
        <v>1.239597164628403E-2</v>
      </c>
      <c r="I652" s="3">
        <f>IF('Value at Risk'!$C$5=0,'Market Data - EQ'!D652-'Market Data - EQ'!D653,IF('Value at Risk'!$C$6=0,('Market Data - EQ'!D652-'Market Data - EQ'!D653)/'Market Data - EQ'!D653,LN('Market Data - EQ'!D652/'Market Data - EQ'!D653)))</f>
        <v>5.1896758747697952E-3</v>
      </c>
      <c r="J652" s="3">
        <f>IF('Value at Risk'!$C$5=0,'Market Data - EQ'!E652-'Market Data - EQ'!E653,IF('Value at Risk'!$C$6=0,('Market Data - EQ'!E652-'Market Data - EQ'!E653)/'Market Data - EQ'!E653,LN('Market Data - EQ'!E652/'Market Data - EQ'!E653)))</f>
        <v>-3.9108701069482527E-3</v>
      </c>
      <c r="K652" s="3">
        <f>IF('Value at Risk'!$C$5=0,'Market Data - EQ'!F652-'Market Data - EQ'!F653,IF('Value at Risk'!$C$6=0,('Market Data - EQ'!F652-'Market Data - EQ'!F653)/'Market Data - EQ'!F653,LN('Market Data - EQ'!F652/'Market Data - EQ'!F653)))</f>
        <v>-1.7953742625419898E-2</v>
      </c>
      <c r="L652" s="8">
        <f t="shared" si="10"/>
        <v>-1.5517620889141681E-3</v>
      </c>
    </row>
    <row r="653" spans="1:12" x14ac:dyDescent="0.25">
      <c r="A653" s="5">
        <v>42865</v>
      </c>
      <c r="B653" s="4">
        <v>775.90002400000003</v>
      </c>
      <c r="C653" s="4">
        <v>294.45001200000002</v>
      </c>
      <c r="D653" s="4">
        <v>271.5</v>
      </c>
      <c r="E653" s="4">
        <v>1431.900024</v>
      </c>
      <c r="F653" s="4">
        <v>526.34997599999997</v>
      </c>
      <c r="G653" s="3">
        <f>IF('Value at Risk'!$C$5=0,'Market Data - EQ'!B653-'Market Data - EQ'!B654,IF('Value at Risk'!$C$6=0,('Market Data - EQ'!B653-'Market Data - EQ'!B654)/'Market Data - EQ'!B654,LN('Market Data - EQ'!B653/'Market Data - EQ'!B654)))</f>
        <v>1.0450951001139549E-2</v>
      </c>
      <c r="H653" s="3">
        <f>IF('Value at Risk'!$C$5=0,'Market Data - EQ'!C653-'Market Data - EQ'!C654,IF('Value at Risk'!$C$6=0,('Market Data - EQ'!C653-'Market Data - EQ'!C654)/'Market Data - EQ'!C654,LN('Market Data - EQ'!C653/'Market Data - EQ'!C654)))</f>
        <v>-6.9139561551432877E-3</v>
      </c>
      <c r="I653" s="3">
        <f>IF('Value at Risk'!$C$5=0,'Market Data - EQ'!D653-'Market Data - EQ'!D654,IF('Value at Risk'!$C$6=0,('Market Data - EQ'!D653-'Market Data - EQ'!D654)/'Market Data - EQ'!D654,LN('Market Data - EQ'!D653/'Market Data - EQ'!D654)))</f>
        <v>-6.488053833051421E-3</v>
      </c>
      <c r="J653" s="3">
        <f>IF('Value at Risk'!$C$5=0,'Market Data - EQ'!E653-'Market Data - EQ'!E654,IF('Value at Risk'!$C$6=0,('Market Data - EQ'!E653-'Market Data - EQ'!E654)/'Market Data - EQ'!E654,LN('Market Data - EQ'!E653/'Market Data - EQ'!E654)))</f>
        <v>7.7415721121840168E-3</v>
      </c>
      <c r="K653" s="3">
        <f>IF('Value at Risk'!$C$5=0,'Market Data - EQ'!F653-'Market Data - EQ'!F654,IF('Value at Risk'!$C$6=0,('Market Data - EQ'!F653-'Market Data - EQ'!F654)/'Market Data - EQ'!F654,LN('Market Data - EQ'!F653/'Market Data - EQ'!F654)))</f>
        <v>1.5727448497241552E-2</v>
      </c>
      <c r="L653" s="8">
        <f t="shared" si="10"/>
        <v>4.1035923244740809E-3</v>
      </c>
    </row>
    <row r="654" spans="1:12" x14ac:dyDescent="0.25">
      <c r="A654" s="5">
        <v>42864</v>
      </c>
      <c r="B654" s="4">
        <v>767.875</v>
      </c>
      <c r="C654" s="4">
        <v>296.5</v>
      </c>
      <c r="D654" s="4">
        <v>273.27301</v>
      </c>
      <c r="E654" s="4">
        <v>1420.900024</v>
      </c>
      <c r="F654" s="4">
        <v>518.20001200000002</v>
      </c>
      <c r="G654" s="3">
        <f>IF('Value at Risk'!$C$5=0,'Market Data - EQ'!B654-'Market Data - EQ'!B655,IF('Value at Risk'!$C$6=0,('Market Data - EQ'!B654-'Market Data - EQ'!B655)/'Market Data - EQ'!B655,LN('Market Data - EQ'!B654/'Market Data - EQ'!B655)))</f>
        <v>6.1894186232129913E-4</v>
      </c>
      <c r="H654" s="3">
        <f>IF('Value at Risk'!$C$5=0,'Market Data - EQ'!C654-'Market Data - EQ'!C655,IF('Value at Risk'!$C$6=0,('Market Data - EQ'!C654-'Market Data - EQ'!C655)/'Market Data - EQ'!C655,LN('Market Data - EQ'!C654/'Market Data - EQ'!C655)))</f>
        <v>-9.6860188981833864E-3</v>
      </c>
      <c r="I654" s="3">
        <f>IF('Value at Risk'!$C$5=0,'Market Data - EQ'!D654-'Market Data - EQ'!D655,IF('Value at Risk'!$C$6=0,('Market Data - EQ'!D654-'Market Data - EQ'!D655)/'Market Data - EQ'!D655,LN('Market Data - EQ'!D654/'Market Data - EQ'!D655)))</f>
        <v>-7.7556907118760546E-3</v>
      </c>
      <c r="J654" s="3">
        <f>IF('Value at Risk'!$C$5=0,'Market Data - EQ'!E654-'Market Data - EQ'!E655,IF('Value at Risk'!$C$6=0,('Market Data - EQ'!E654-'Market Data - EQ'!E655)/'Market Data - EQ'!E655,LN('Market Data - EQ'!E654/'Market Data - EQ'!E655)))</f>
        <v>-2.7721879963030853E-3</v>
      </c>
      <c r="K654" s="3">
        <f>IF('Value at Risk'!$C$5=0,'Market Data - EQ'!F654-'Market Data - EQ'!F655,IF('Value at Risk'!$C$6=0,('Market Data - EQ'!F654-'Market Data - EQ'!F655)/'Market Data - EQ'!F655,LN('Market Data - EQ'!F654/'Market Data - EQ'!F655)))</f>
        <v>1.3693270414085983E-2</v>
      </c>
      <c r="L654" s="8">
        <f t="shared" si="10"/>
        <v>-1.1803370659910484E-3</v>
      </c>
    </row>
    <row r="655" spans="1:12" x14ac:dyDescent="0.25">
      <c r="A655" s="5">
        <v>42863</v>
      </c>
      <c r="B655" s="4">
        <v>767.40002400000003</v>
      </c>
      <c r="C655" s="4">
        <v>299.39999399999999</v>
      </c>
      <c r="D655" s="4">
        <v>275.408997</v>
      </c>
      <c r="E655" s="4">
        <v>1424.849976</v>
      </c>
      <c r="F655" s="4">
        <v>511.20001200000002</v>
      </c>
      <c r="G655" s="3">
        <f>IF('Value at Risk'!$C$5=0,'Market Data - EQ'!B655-'Market Data - EQ'!B656,IF('Value at Risk'!$C$6=0,('Market Data - EQ'!B655-'Market Data - EQ'!B656)/'Market Data - EQ'!B656,LN('Market Data - EQ'!B655/'Market Data - EQ'!B656)))</f>
        <v>1.696969117252734E-3</v>
      </c>
      <c r="H655" s="3">
        <f>IF('Value at Risk'!$C$5=0,'Market Data - EQ'!C655-'Market Data - EQ'!C656,IF('Value at Risk'!$C$6=0,('Market Data - EQ'!C655-'Market Data - EQ'!C656)/'Market Data - EQ'!C656,LN('Market Data - EQ'!C655/'Market Data - EQ'!C656)))</f>
        <v>1.148646621621619E-2</v>
      </c>
      <c r="I655" s="3">
        <f>IF('Value at Risk'!$C$5=0,'Market Data - EQ'!D655-'Market Data - EQ'!D656,IF('Value at Risk'!$C$6=0,('Market Data - EQ'!D655-'Market Data - EQ'!D656)/'Market Data - EQ'!D656,LN('Market Data - EQ'!D655/'Market Data - EQ'!D656)))</f>
        <v>1.4737904948670512E-2</v>
      </c>
      <c r="J655" s="3">
        <f>IF('Value at Risk'!$C$5=0,'Market Data - EQ'!E655-'Market Data - EQ'!E656,IF('Value at Risk'!$C$6=0,('Market Data - EQ'!E655-'Market Data - EQ'!E656)/'Market Data - EQ'!E656,LN('Market Data - EQ'!E655/'Market Data - EQ'!E656)))</f>
        <v>1.1931342221770716E-2</v>
      </c>
      <c r="K655" s="3">
        <f>IF('Value at Risk'!$C$5=0,'Market Data - EQ'!F655-'Market Data - EQ'!F656,IF('Value at Risk'!$C$6=0,('Market Data - EQ'!F655-'Market Data - EQ'!F656)/'Market Data - EQ'!F656,LN('Market Data - EQ'!F655/'Market Data - EQ'!F656)))</f>
        <v>1.3280499504459892E-2</v>
      </c>
      <c r="L655" s="8">
        <f t="shared" si="10"/>
        <v>1.0626636401674008E-2</v>
      </c>
    </row>
    <row r="656" spans="1:12" x14ac:dyDescent="0.25">
      <c r="A656" s="5">
        <v>42860</v>
      </c>
      <c r="B656" s="4">
        <v>766.09997599999997</v>
      </c>
      <c r="C656" s="4">
        <v>296</v>
      </c>
      <c r="D656" s="4">
        <v>271.408997</v>
      </c>
      <c r="E656" s="4">
        <v>1408.0500489999999</v>
      </c>
      <c r="F656" s="4">
        <v>504.5</v>
      </c>
      <c r="G656" s="3">
        <f>IF('Value at Risk'!$C$5=0,'Market Data - EQ'!B656-'Market Data - EQ'!B657,IF('Value at Risk'!$C$6=0,('Market Data - EQ'!B656-'Market Data - EQ'!B657)/'Market Data - EQ'!B657,LN('Market Data - EQ'!B656/'Market Data - EQ'!B657)))</f>
        <v>-1.6940942915582456E-3</v>
      </c>
      <c r="H656" s="3">
        <f>IF('Value at Risk'!$C$5=0,'Market Data - EQ'!C656-'Market Data - EQ'!C657,IF('Value at Risk'!$C$6=0,('Market Data - EQ'!C656-'Market Data - EQ'!C657)/'Market Data - EQ'!C657,LN('Market Data - EQ'!C656/'Market Data - EQ'!C657)))</f>
        <v>-1.0198923666233302E-2</v>
      </c>
      <c r="I656" s="3">
        <f>IF('Value at Risk'!$C$5=0,'Market Data - EQ'!D656-'Market Data - EQ'!D657,IF('Value at Risk'!$C$6=0,('Market Data - EQ'!D656-'Market Data - EQ'!D657)/'Market Data - EQ'!D657,LN('Market Data - EQ'!D656/'Market Data - EQ'!D657)))</f>
        <v>2.5191688497700161E-3</v>
      </c>
      <c r="J656" s="3">
        <f>IF('Value at Risk'!$C$5=0,'Market Data - EQ'!E656-'Market Data - EQ'!E657,IF('Value at Risk'!$C$6=0,('Market Data - EQ'!E656-'Market Data - EQ'!E657)/'Market Data - EQ'!E657,LN('Market Data - EQ'!E656/'Market Data - EQ'!E657)))</f>
        <v>-8.5900024643549063E-3</v>
      </c>
      <c r="K656" s="3">
        <f>IF('Value at Risk'!$C$5=0,'Market Data - EQ'!F656-'Market Data - EQ'!F657,IF('Value at Risk'!$C$6=0,('Market Data - EQ'!F656-'Market Data - EQ'!F657)/'Market Data - EQ'!F657,LN('Market Data - EQ'!F656/'Market Data - EQ'!F657)))</f>
        <v>-2.765727409419784E-2</v>
      </c>
      <c r="L656" s="8">
        <f t="shared" si="10"/>
        <v>-9.1242251333148554E-3</v>
      </c>
    </row>
    <row r="657" spans="1:12" x14ac:dyDescent="0.25">
      <c r="A657" s="5">
        <v>42859</v>
      </c>
      <c r="B657" s="4">
        <v>767.40002400000003</v>
      </c>
      <c r="C657" s="4">
        <v>299.04998799999998</v>
      </c>
      <c r="D657" s="4">
        <v>270.72699</v>
      </c>
      <c r="E657" s="4">
        <v>1420.25</v>
      </c>
      <c r="F657" s="4">
        <v>518.84997599999997</v>
      </c>
      <c r="G657" s="3">
        <f>IF('Value at Risk'!$C$5=0,'Market Data - EQ'!B657-'Market Data - EQ'!B658,IF('Value at Risk'!$C$6=0,('Market Data - EQ'!B657-'Market Data - EQ'!B658)/'Market Data - EQ'!B658,LN('Market Data - EQ'!B657/'Market Data - EQ'!B658)))</f>
        <v>-6.1516542800754996E-3</v>
      </c>
      <c r="H657" s="3">
        <f>IF('Value at Risk'!$C$5=0,'Market Data - EQ'!C657-'Market Data - EQ'!C658,IF('Value at Risk'!$C$6=0,('Market Data - EQ'!C657-'Market Data - EQ'!C658)/'Market Data - EQ'!C658,LN('Market Data - EQ'!C657/'Market Data - EQ'!C658)))</f>
        <v>3.1918565848939928E-2</v>
      </c>
      <c r="I657" s="3">
        <f>IF('Value at Risk'!$C$5=0,'Market Data - EQ'!D657-'Market Data - EQ'!D658,IF('Value at Risk'!$C$6=0,('Market Data - EQ'!D657-'Market Data - EQ'!D658)/'Market Data - EQ'!D658,LN('Market Data - EQ'!D657/'Market Data - EQ'!D658)))</f>
        <v>9.1839195887647357E-2</v>
      </c>
      <c r="J657" s="3">
        <f>IF('Value at Risk'!$C$5=0,'Market Data - EQ'!E657-'Market Data - EQ'!E658,IF('Value at Risk'!$C$6=0,('Market Data - EQ'!E657-'Market Data - EQ'!E658)/'Market Data - EQ'!E658,LN('Market Data - EQ'!E657/'Market Data - EQ'!E658)))</f>
        <v>-1.2652474274372619E-2</v>
      </c>
      <c r="K657" s="3">
        <f>IF('Value at Risk'!$C$5=0,'Market Data - EQ'!F657-'Market Data - EQ'!F658,IF('Value at Risk'!$C$6=0,('Market Data - EQ'!F657-'Market Data - EQ'!F658)/'Market Data - EQ'!F658,LN('Market Data - EQ'!F657/'Market Data - EQ'!F658)))</f>
        <v>3.593884353472477E-2</v>
      </c>
      <c r="L657" s="8">
        <f t="shared" si="10"/>
        <v>2.817849534337279E-2</v>
      </c>
    </row>
    <row r="658" spans="1:12" x14ac:dyDescent="0.25">
      <c r="A658" s="5">
        <v>42858</v>
      </c>
      <c r="B658" s="4">
        <v>772.15002400000003</v>
      </c>
      <c r="C658" s="4">
        <v>289.79998799999998</v>
      </c>
      <c r="D658" s="4">
        <v>247.95500200000001</v>
      </c>
      <c r="E658" s="4">
        <v>1438.4499510000001</v>
      </c>
      <c r="F658" s="4">
        <v>500.85000600000001</v>
      </c>
      <c r="G658" s="3">
        <f>IF('Value at Risk'!$C$5=0,'Market Data - EQ'!B658-'Market Data - EQ'!B659,IF('Value at Risk'!$C$6=0,('Market Data - EQ'!B658-'Market Data - EQ'!B659)/'Market Data - EQ'!B659,LN('Market Data - EQ'!B658/'Market Data - EQ'!B659)))</f>
        <v>2.4017084627035532E-3</v>
      </c>
      <c r="H658" s="3">
        <f>IF('Value at Risk'!$C$5=0,'Market Data - EQ'!C658-'Market Data - EQ'!C659,IF('Value at Risk'!$C$6=0,('Market Data - EQ'!C658-'Market Data - EQ'!C659)/'Market Data - EQ'!C659,LN('Market Data - EQ'!C658/'Market Data - EQ'!C659)))</f>
        <v>5.202913848196206E-3</v>
      </c>
      <c r="I658" s="3">
        <f>IF('Value at Risk'!$C$5=0,'Market Data - EQ'!D658-'Market Data - EQ'!D659,IF('Value at Risk'!$C$6=0,('Market Data - EQ'!D658-'Market Data - EQ'!D659)/'Market Data - EQ'!D659,LN('Market Data - EQ'!D658/'Market Data - EQ'!D659)))</f>
        <v>-1.0337448445089234E-2</v>
      </c>
      <c r="J658" s="3">
        <f>IF('Value at Risk'!$C$5=0,'Market Data - EQ'!E658-'Market Data - EQ'!E659,IF('Value at Risk'!$C$6=0,('Market Data - EQ'!E658-'Market Data - EQ'!E659)/'Market Data - EQ'!E659,LN('Market Data - EQ'!E658/'Market Data - EQ'!E659)))</f>
        <v>-5.083758300522709E-3</v>
      </c>
      <c r="K658" s="3">
        <f>IF('Value at Risk'!$C$5=0,'Market Data - EQ'!F658-'Market Data - EQ'!F659,IF('Value at Risk'!$C$6=0,('Market Data - EQ'!F658-'Market Data - EQ'!F659)/'Market Data - EQ'!F659,LN('Market Data - EQ'!F658/'Market Data - EQ'!F659)))</f>
        <v>-9.2967700752867536E-3</v>
      </c>
      <c r="L658" s="8">
        <f t="shared" si="10"/>
        <v>-3.4226709019997874E-3</v>
      </c>
    </row>
    <row r="659" spans="1:12" x14ac:dyDescent="0.25">
      <c r="A659" s="5">
        <v>42857</v>
      </c>
      <c r="B659" s="4">
        <v>770.29998799999998</v>
      </c>
      <c r="C659" s="4">
        <v>288.29998799999998</v>
      </c>
      <c r="D659" s="4">
        <v>250.54499799999999</v>
      </c>
      <c r="E659" s="4">
        <v>1445.8000489999999</v>
      </c>
      <c r="F659" s="4">
        <v>505.54998799999998</v>
      </c>
      <c r="G659" s="3">
        <f>IF('Value at Risk'!$C$5=0,'Market Data - EQ'!B659-'Market Data - EQ'!B660,IF('Value at Risk'!$C$6=0,('Market Data - EQ'!B659-'Market Data - EQ'!B660)/'Market Data - EQ'!B660,LN('Market Data - EQ'!B659/'Market Data - EQ'!B660)))</f>
        <v>-3.8150817976075205E-3</v>
      </c>
      <c r="H659" s="3">
        <f>IF('Value at Risk'!$C$5=0,'Market Data - EQ'!C659-'Market Data - EQ'!C660,IF('Value at Risk'!$C$6=0,('Market Data - EQ'!C659-'Market Data - EQ'!C660)/'Market Data - EQ'!C660,LN('Market Data - EQ'!C659/'Market Data - EQ'!C660)))</f>
        <v>-5.0043554788611394E-3</v>
      </c>
      <c r="I659" s="3">
        <f>IF('Value at Risk'!$C$5=0,'Market Data - EQ'!D659-'Market Data - EQ'!D660,IF('Value at Risk'!$C$6=0,('Market Data - EQ'!D659-'Market Data - EQ'!D660)/'Market Data - EQ'!D660,LN('Market Data - EQ'!D659/'Market Data - EQ'!D660)))</f>
        <v>-1.0415467636292204E-2</v>
      </c>
      <c r="J659" s="3">
        <f>IF('Value at Risk'!$C$5=0,'Market Data - EQ'!E659-'Market Data - EQ'!E660,IF('Value at Risk'!$C$6=0,('Market Data - EQ'!E659-'Market Data - EQ'!E660)/'Market Data - EQ'!E660,LN('Market Data - EQ'!E659/'Market Data - EQ'!E660)))</f>
        <v>5.8832349135107796E-4</v>
      </c>
      <c r="K659" s="3">
        <f>IF('Value at Risk'!$C$5=0,'Market Data - EQ'!F659-'Market Data - EQ'!F660,IF('Value at Risk'!$C$6=0,('Market Data - EQ'!F659-'Market Data - EQ'!F660)/'Market Data - EQ'!F660,LN('Market Data - EQ'!F659/'Market Data - EQ'!F660)))</f>
        <v>-8.0447484514245046E-3</v>
      </c>
      <c r="L659" s="8">
        <f t="shared" si="10"/>
        <v>-5.3382659745668578E-3</v>
      </c>
    </row>
    <row r="660" spans="1:12" x14ac:dyDescent="0.25">
      <c r="A660" s="5">
        <v>42853</v>
      </c>
      <c r="B660" s="4">
        <v>773.25</v>
      </c>
      <c r="C660" s="4">
        <v>289.75</v>
      </c>
      <c r="D660" s="4">
        <v>253.182007</v>
      </c>
      <c r="E660" s="4">
        <v>1444.9499510000001</v>
      </c>
      <c r="F660" s="4">
        <v>509.64999399999999</v>
      </c>
      <c r="G660" s="3">
        <f>IF('Value at Risk'!$C$5=0,'Market Data - EQ'!B660-'Market Data - EQ'!B661,IF('Value at Risk'!$C$6=0,('Market Data - EQ'!B660-'Market Data - EQ'!B661)/'Market Data - EQ'!B661,LN('Market Data - EQ'!B660/'Market Data - EQ'!B661)))</f>
        <v>-1.4088981472737171E-2</v>
      </c>
      <c r="H660" s="3">
        <f>IF('Value at Risk'!$C$5=0,'Market Data - EQ'!C660-'Market Data - EQ'!C661,IF('Value at Risk'!$C$6=0,('Market Data - EQ'!C660-'Market Data - EQ'!C661)/'Market Data - EQ'!C661,LN('Market Data - EQ'!C660/'Market Data - EQ'!C661)))</f>
        <v>2.7300167798624462E-2</v>
      </c>
      <c r="I660" s="3">
        <f>IF('Value at Risk'!$C$5=0,'Market Data - EQ'!D660-'Market Data - EQ'!D661,IF('Value at Risk'!$C$6=0,('Market Data - EQ'!D660-'Market Data - EQ'!D661)/'Market Data - EQ'!D661,LN('Market Data - EQ'!D660/'Market Data - EQ'!D661)))</f>
        <v>1.586907486209212E-2</v>
      </c>
      <c r="J660" s="3">
        <f>IF('Value at Risk'!$C$5=0,'Market Data - EQ'!E660-'Market Data - EQ'!E661,IF('Value at Risk'!$C$6=0,('Market Data - EQ'!E660-'Market Data - EQ'!E661)/'Market Data - EQ'!E661,LN('Market Data - EQ'!E660/'Market Data - EQ'!E661)))</f>
        <v>-1.747531539155639E-2</v>
      </c>
      <c r="K660" s="3">
        <f>IF('Value at Risk'!$C$5=0,'Market Data - EQ'!F660-'Market Data - EQ'!F661,IF('Value at Risk'!$C$6=0,('Market Data - EQ'!F660-'Market Data - EQ'!F661)/'Market Data - EQ'!F661,LN('Market Data - EQ'!F660/'Market Data - EQ'!F661)))</f>
        <v>6.0205052583437689E-3</v>
      </c>
      <c r="L660" s="8">
        <f t="shared" si="10"/>
        <v>3.5250902109533583E-3</v>
      </c>
    </row>
    <row r="661" spans="1:12" x14ac:dyDescent="0.25">
      <c r="A661" s="5">
        <v>42852</v>
      </c>
      <c r="B661" s="4">
        <v>784.29998799999998</v>
      </c>
      <c r="C661" s="4">
        <v>282.04998799999998</v>
      </c>
      <c r="D661" s="4">
        <v>249.22700499999999</v>
      </c>
      <c r="E661" s="4">
        <v>1470.650024</v>
      </c>
      <c r="F661" s="4">
        <v>506.60000600000001</v>
      </c>
      <c r="G661" s="3">
        <f>IF('Value at Risk'!$C$5=0,'Market Data - EQ'!B661-'Market Data - EQ'!B662,IF('Value at Risk'!$C$6=0,('Market Data - EQ'!B661-'Market Data - EQ'!B662)/'Market Data - EQ'!B662,LN('Market Data - EQ'!B661/'Market Data - EQ'!B662)))</f>
        <v>1.1575759663484156E-2</v>
      </c>
      <c r="H661" s="3">
        <f>IF('Value at Risk'!$C$5=0,'Market Data - EQ'!C661-'Market Data - EQ'!C662,IF('Value at Risk'!$C$6=0,('Market Data - EQ'!C661-'Market Data - EQ'!C662)/'Market Data - EQ'!C662,LN('Market Data - EQ'!C661/'Market Data - EQ'!C662)))</f>
        <v>-1.5360529990133253E-2</v>
      </c>
      <c r="I661" s="3">
        <f>IF('Value at Risk'!$C$5=0,'Market Data - EQ'!D661-'Market Data - EQ'!D662,IF('Value at Risk'!$C$6=0,('Market Data - EQ'!D661-'Market Data - EQ'!D662)/'Market Data - EQ'!D662,LN('Market Data - EQ'!D661/'Market Data - EQ'!D662)))</f>
        <v>-9.9313937334613751E-3</v>
      </c>
      <c r="J661" s="3">
        <f>IF('Value at Risk'!$C$5=0,'Market Data - EQ'!E661-'Market Data - EQ'!E662,IF('Value at Risk'!$C$6=0,('Market Data - EQ'!E661-'Market Data - EQ'!E662)/'Market Data - EQ'!E662,LN('Market Data - EQ'!E661/'Market Data - EQ'!E662)))</f>
        <v>4.0965417688068806E-3</v>
      </c>
      <c r="K661" s="3">
        <f>IF('Value at Risk'!$C$5=0,'Market Data - EQ'!F661-'Market Data - EQ'!F662,IF('Value at Risk'!$C$6=0,('Market Data - EQ'!F661-'Market Data - EQ'!F662)/'Market Data - EQ'!F662,LN('Market Data - EQ'!F661/'Market Data - EQ'!F662)))</f>
        <v>-2.0400304573900633E-2</v>
      </c>
      <c r="L661" s="8">
        <f t="shared" si="10"/>
        <v>-6.0039853730408446E-3</v>
      </c>
    </row>
    <row r="662" spans="1:12" x14ac:dyDescent="0.25">
      <c r="A662" s="5">
        <v>42851</v>
      </c>
      <c r="B662" s="4">
        <v>775.32501200000002</v>
      </c>
      <c r="C662" s="4">
        <v>286.45001200000002</v>
      </c>
      <c r="D662" s="4">
        <v>251.72700499999999</v>
      </c>
      <c r="E662" s="4">
        <v>1464.650024</v>
      </c>
      <c r="F662" s="4">
        <v>517.15002400000003</v>
      </c>
      <c r="G662" s="3">
        <f>IF('Value at Risk'!$C$5=0,'Market Data - EQ'!B662-'Market Data - EQ'!B663,IF('Value at Risk'!$C$6=0,('Market Data - EQ'!B662-'Market Data - EQ'!B663)/'Market Data - EQ'!B663,LN('Market Data - EQ'!B662/'Market Data - EQ'!B663)))</f>
        <v>8.8481022577606844E-3</v>
      </c>
      <c r="H662" s="3">
        <f>IF('Value at Risk'!$C$5=0,'Market Data - EQ'!C662-'Market Data - EQ'!C663,IF('Value at Risk'!$C$6=0,('Market Data - EQ'!C662-'Market Data - EQ'!C663)/'Market Data - EQ'!C663,LN('Market Data - EQ'!C662/'Market Data - EQ'!C663)))</f>
        <v>1.3984408906880653E-3</v>
      </c>
      <c r="I662" s="3">
        <f>IF('Value at Risk'!$C$5=0,'Market Data - EQ'!D662-'Market Data - EQ'!D663,IF('Value at Risk'!$C$6=0,('Market Data - EQ'!D662-'Market Data - EQ'!D663)/'Market Data - EQ'!D663,LN('Market Data - EQ'!D662/'Market Data - EQ'!D663)))</f>
        <v>1.6146806441227513E-2</v>
      </c>
      <c r="J662" s="3">
        <f>IF('Value at Risk'!$C$5=0,'Market Data - EQ'!E662-'Market Data - EQ'!E663,IF('Value at Risk'!$C$6=0,('Market Data - EQ'!E662-'Market Data - EQ'!E663)/'Market Data - EQ'!E663,LN('Market Data - EQ'!E662/'Market Data - EQ'!E663)))</f>
        <v>7.8792137256272002E-3</v>
      </c>
      <c r="K662" s="3">
        <f>IF('Value at Risk'!$C$5=0,'Market Data - EQ'!F662-'Market Data - EQ'!F663,IF('Value at Risk'!$C$6=0,('Market Data - EQ'!F662-'Market Data - EQ'!F663)/'Market Data - EQ'!F663,LN('Market Data - EQ'!F662/'Market Data - EQ'!F663)))</f>
        <v>1.4523624421830003E-3</v>
      </c>
      <c r="L662" s="8">
        <f t="shared" si="10"/>
        <v>7.1449851514972917E-3</v>
      </c>
    </row>
    <row r="663" spans="1:12" x14ac:dyDescent="0.25">
      <c r="A663" s="5">
        <v>42850</v>
      </c>
      <c r="B663" s="4">
        <v>768.52502400000003</v>
      </c>
      <c r="C663" s="4">
        <v>286.04998799999998</v>
      </c>
      <c r="D663" s="4">
        <v>247.72700499999999</v>
      </c>
      <c r="E663" s="4">
        <v>1453.1999510000001</v>
      </c>
      <c r="F663" s="4">
        <v>516.40002400000003</v>
      </c>
      <c r="G663" s="3">
        <f>IF('Value at Risk'!$C$5=0,'Market Data - EQ'!B663-'Market Data - EQ'!B664,IF('Value at Risk'!$C$6=0,('Market Data - EQ'!B663-'Market Data - EQ'!B664)/'Market Data - EQ'!B664,LN('Market Data - EQ'!B663/'Market Data - EQ'!B664)))</f>
        <v>2.609177701157477E-3</v>
      </c>
      <c r="H663" s="3">
        <f>IF('Value at Risk'!$C$5=0,'Market Data - EQ'!C663-'Market Data - EQ'!C664,IF('Value at Risk'!$C$6=0,('Market Data - EQ'!C663-'Market Data - EQ'!C664)/'Market Data - EQ'!C664,LN('Market Data - EQ'!C663/'Market Data - EQ'!C664)))</f>
        <v>0</v>
      </c>
      <c r="I663" s="3">
        <f>IF('Value at Risk'!$C$5=0,'Market Data - EQ'!D663-'Market Data - EQ'!D664,IF('Value at Risk'!$C$6=0,('Market Data - EQ'!D663-'Market Data - EQ'!D664)/'Market Data - EQ'!D664,LN('Market Data - EQ'!D663/'Market Data - EQ'!D664)))</f>
        <v>1.4330929538279356E-2</v>
      </c>
      <c r="J663" s="3">
        <f>IF('Value at Risk'!$C$5=0,'Market Data - EQ'!E663-'Market Data - EQ'!E664,IF('Value at Risk'!$C$6=0,('Market Data - EQ'!E663-'Market Data - EQ'!E664)/'Market Data - EQ'!E664,LN('Market Data - EQ'!E663/'Market Data - EQ'!E664)))</f>
        <v>1.3707161472114123E-2</v>
      </c>
      <c r="K663" s="3">
        <f>IF('Value at Risk'!$C$5=0,'Market Data - EQ'!F663-'Market Data - EQ'!F664,IF('Value at Risk'!$C$6=0,('Market Data - EQ'!F663-'Market Data - EQ'!F664)/'Market Data - EQ'!F664,LN('Market Data - EQ'!F663/'Market Data - EQ'!F664)))</f>
        <v>3.5596170086387366E-2</v>
      </c>
      <c r="L663" s="8">
        <f t="shared" si="10"/>
        <v>1.3248687759587662E-2</v>
      </c>
    </row>
    <row r="664" spans="1:12" x14ac:dyDescent="0.25">
      <c r="A664" s="5">
        <v>42849</v>
      </c>
      <c r="B664" s="4">
        <v>766.52502400000003</v>
      </c>
      <c r="C664" s="4">
        <v>286.04998799999998</v>
      </c>
      <c r="D664" s="4">
        <v>244.22700499999999</v>
      </c>
      <c r="E664" s="4">
        <v>1433.5500489999999</v>
      </c>
      <c r="F664" s="4">
        <v>498.64999399999999</v>
      </c>
      <c r="G664" s="3">
        <f>IF('Value at Risk'!$C$5=0,'Market Data - EQ'!B664-'Market Data - EQ'!B665,IF('Value at Risk'!$C$6=0,('Market Data - EQ'!B664-'Market Data - EQ'!B665)/'Market Data - EQ'!B665,LN('Market Data - EQ'!B664/'Market Data - EQ'!B665)))</f>
        <v>2.4355253631248283E-2</v>
      </c>
      <c r="H664" s="3">
        <f>IF('Value at Risk'!$C$5=0,'Market Data - EQ'!C664-'Market Data - EQ'!C665,IF('Value at Risk'!$C$6=0,('Market Data - EQ'!C664-'Market Data - EQ'!C665)/'Market Data - EQ'!C665,LN('Market Data - EQ'!C664/'Market Data - EQ'!C665)))</f>
        <v>1.3642720894001838E-2</v>
      </c>
      <c r="I664" s="3">
        <f>IF('Value at Risk'!$C$5=0,'Market Data - EQ'!D664-'Market Data - EQ'!D665,IF('Value at Risk'!$C$6=0,('Market Data - EQ'!D664-'Market Data - EQ'!D665)/'Market Data - EQ'!D665,LN('Market Data - EQ'!D664/'Market Data - EQ'!D665)))</f>
        <v>-1.8595646062360745E-3</v>
      </c>
      <c r="J664" s="3">
        <f>IF('Value at Risk'!$C$5=0,'Market Data - EQ'!E664-'Market Data - EQ'!E665,IF('Value at Risk'!$C$6=0,('Market Data - EQ'!E664-'Market Data - EQ'!E665)/'Market Data - EQ'!E665,LN('Market Data - EQ'!E664/'Market Data - EQ'!E665)))</f>
        <v>-1.0104188153310491E-3</v>
      </c>
      <c r="K664" s="3">
        <f>IF('Value at Risk'!$C$5=0,'Market Data - EQ'!F664-'Market Data - EQ'!F665,IF('Value at Risk'!$C$6=0,('Market Data - EQ'!F664-'Market Data - EQ'!F665)/'Market Data - EQ'!F665,LN('Market Data - EQ'!F664/'Market Data - EQ'!F665)))</f>
        <v>2.5501273007712065E-2</v>
      </c>
      <c r="L664" s="8">
        <f t="shared" si="10"/>
        <v>1.2125852822279012E-2</v>
      </c>
    </row>
    <row r="665" spans="1:12" x14ac:dyDescent="0.25">
      <c r="A665" s="5">
        <v>42846</v>
      </c>
      <c r="B665" s="4">
        <v>748.29998799999998</v>
      </c>
      <c r="C665" s="4">
        <v>282.20001200000002</v>
      </c>
      <c r="D665" s="4">
        <v>244.682007</v>
      </c>
      <c r="E665" s="4">
        <v>1435</v>
      </c>
      <c r="F665" s="4">
        <v>486.25</v>
      </c>
      <c r="G665" s="3">
        <f>IF('Value at Risk'!$C$5=0,'Market Data - EQ'!B665-'Market Data - EQ'!B666,IF('Value at Risk'!$C$6=0,('Market Data - EQ'!B665-'Market Data - EQ'!B666)/'Market Data - EQ'!B666,LN('Market Data - EQ'!B665/'Market Data - EQ'!B666)))</f>
        <v>2.3561160916822539E-2</v>
      </c>
      <c r="H665" s="3">
        <f>IF('Value at Risk'!$C$5=0,'Market Data - EQ'!C665-'Market Data - EQ'!C666,IF('Value at Risk'!$C$6=0,('Market Data - EQ'!C665-'Market Data - EQ'!C666)/'Market Data - EQ'!C666,LN('Market Data - EQ'!C665/'Market Data - EQ'!C666)))</f>
        <v>-9.1291295981373762E-3</v>
      </c>
      <c r="I665" s="3">
        <f>IF('Value at Risk'!$C$5=0,'Market Data - EQ'!D665-'Market Data - EQ'!D666,IF('Value at Risk'!$C$6=0,('Market Data - EQ'!D665-'Market Data - EQ'!D666)/'Market Data - EQ'!D666,LN('Market Data - EQ'!D665/'Market Data - EQ'!D666)))</f>
        <v>-1.3199955530641034E-2</v>
      </c>
      <c r="J665" s="3">
        <f>IF('Value at Risk'!$C$5=0,'Market Data - EQ'!E665-'Market Data - EQ'!E666,IF('Value at Risk'!$C$6=0,('Market Data - EQ'!E665-'Market Data - EQ'!E666)/'Market Data - EQ'!E666,LN('Market Data - EQ'!E665/'Market Data - EQ'!E666)))</f>
        <v>5.1835416954364184E-3</v>
      </c>
      <c r="K665" s="3">
        <f>IF('Value at Risk'!$C$5=0,'Market Data - EQ'!F665-'Market Data - EQ'!F666,IF('Value at Risk'!$C$6=0,('Market Data - EQ'!F665-'Market Data - EQ'!F666)/'Market Data - EQ'!F666,LN('Market Data - EQ'!F665/'Market Data - EQ'!F666)))</f>
        <v>-3.5860655737704919E-3</v>
      </c>
      <c r="L665" s="8">
        <f t="shared" si="10"/>
        <v>5.6591038194201109E-4</v>
      </c>
    </row>
    <row r="666" spans="1:12" x14ac:dyDescent="0.25">
      <c r="A666" s="5">
        <v>42845</v>
      </c>
      <c r="B666" s="4">
        <v>731.07501200000002</v>
      </c>
      <c r="C666" s="4">
        <v>284.79998799999998</v>
      </c>
      <c r="D666" s="4">
        <v>247.95500200000001</v>
      </c>
      <c r="E666" s="4">
        <v>1427.599976</v>
      </c>
      <c r="F666" s="4">
        <v>488</v>
      </c>
      <c r="G666" s="3">
        <f>IF('Value at Risk'!$C$5=0,'Market Data - EQ'!B666-'Market Data - EQ'!B667,IF('Value at Risk'!$C$6=0,('Market Data - EQ'!B666-'Market Data - EQ'!B667)/'Market Data - EQ'!B667,LN('Market Data - EQ'!B666/'Market Data - EQ'!B667)))</f>
        <v>9.0752408557626153E-3</v>
      </c>
      <c r="H666" s="3">
        <f>IF('Value at Risk'!$C$5=0,'Market Data - EQ'!C666-'Market Data - EQ'!C667,IF('Value at Risk'!$C$6=0,('Market Data - EQ'!C666-'Market Data - EQ'!C667)/'Market Data - EQ'!C667,LN('Market Data - EQ'!C666/'Market Data - EQ'!C667)))</f>
        <v>2.6403803262966519E-3</v>
      </c>
      <c r="I666" s="3">
        <f>IF('Value at Risk'!$C$5=0,'Market Data - EQ'!D666-'Market Data - EQ'!D667,IF('Value at Risk'!$C$6=0,('Market Data - EQ'!D666-'Market Data - EQ'!D667)/'Market Data - EQ'!D667,LN('Market Data - EQ'!D666/'Market Data - EQ'!D667)))</f>
        <v>-2.77990003944323E-2</v>
      </c>
      <c r="J666" s="3">
        <f>IF('Value at Risk'!$C$5=0,'Market Data - EQ'!E666-'Market Data - EQ'!E667,IF('Value at Risk'!$C$6=0,('Market Data - EQ'!E666-'Market Data - EQ'!E667)/'Market Data - EQ'!E667,LN('Market Data - EQ'!E666/'Market Data - EQ'!E667)))</f>
        <v>4.2205965822272916E-3</v>
      </c>
      <c r="K666" s="3">
        <f>IF('Value at Risk'!$C$5=0,'Market Data - EQ'!F666-'Market Data - EQ'!F667,IF('Value at Risk'!$C$6=0,('Market Data - EQ'!F666-'Market Data - EQ'!F667)/'Market Data - EQ'!F667,LN('Market Data - EQ'!F666/'Market Data - EQ'!F667)))</f>
        <v>-2.3023023023023025E-2</v>
      </c>
      <c r="L666" s="8">
        <f t="shared" si="10"/>
        <v>-6.977161130633752E-3</v>
      </c>
    </row>
    <row r="667" spans="1:12" x14ac:dyDescent="0.25">
      <c r="A667" s="5">
        <v>42844</v>
      </c>
      <c r="B667" s="4">
        <v>724.5</v>
      </c>
      <c r="C667" s="4">
        <v>284.04998799999998</v>
      </c>
      <c r="D667" s="4">
        <v>255.04499799999999</v>
      </c>
      <c r="E667" s="4">
        <v>1421.599976</v>
      </c>
      <c r="F667" s="4">
        <v>499.5</v>
      </c>
      <c r="G667" s="3">
        <f>IF('Value at Risk'!$C$5=0,'Market Data - EQ'!B667-'Market Data - EQ'!B668,IF('Value at Risk'!$C$6=0,('Market Data - EQ'!B667-'Market Data - EQ'!B668)/'Market Data - EQ'!B668,LN('Market Data - EQ'!B667/'Market Data - EQ'!B668)))</f>
        <v>1.1745677769782947E-3</v>
      </c>
      <c r="H667" s="3">
        <f>IF('Value at Risk'!$C$5=0,'Market Data - EQ'!C667-'Market Data - EQ'!C668,IF('Value at Risk'!$C$6=0,('Market Data - EQ'!C667-'Market Data - EQ'!C668)/'Market Data - EQ'!C668,LN('Market Data - EQ'!C667/'Market Data - EQ'!C668)))</f>
        <v>-2.1529453180687008E-2</v>
      </c>
      <c r="I667" s="3">
        <f>IF('Value at Risk'!$C$5=0,'Market Data - EQ'!D667-'Market Data - EQ'!D668,IF('Value at Risk'!$C$6=0,('Market Data - EQ'!D667-'Market Data - EQ'!D668)/'Market Data - EQ'!D668,LN('Market Data - EQ'!D667/'Market Data - EQ'!D668)))</f>
        <v>-1.005677832599057E-2</v>
      </c>
      <c r="J667" s="3">
        <f>IF('Value at Risk'!$C$5=0,'Market Data - EQ'!E667-'Market Data - EQ'!E668,IF('Value at Risk'!$C$6=0,('Market Data - EQ'!E667-'Market Data - EQ'!E668)/'Market Data - EQ'!E668,LN('Market Data - EQ'!E667/'Market Data - EQ'!E668)))</f>
        <v>-7.0892432338048057E-3</v>
      </c>
      <c r="K667" s="3">
        <f>IF('Value at Risk'!$C$5=0,'Market Data - EQ'!F667-'Market Data - EQ'!F668,IF('Value at Risk'!$C$6=0,('Market Data - EQ'!F667-'Market Data - EQ'!F668)/'Market Data - EQ'!F668,LN('Market Data - EQ'!F667/'Market Data - EQ'!F668)))</f>
        <v>-3.0019814230197392E-4</v>
      </c>
      <c r="L667" s="8">
        <f t="shared" si="10"/>
        <v>-7.5602210211612132E-3</v>
      </c>
    </row>
    <row r="668" spans="1:12" x14ac:dyDescent="0.25">
      <c r="A668" s="5">
        <v>42843</v>
      </c>
      <c r="B668" s="4">
        <v>723.65002400000003</v>
      </c>
      <c r="C668" s="4">
        <v>290.29998799999998</v>
      </c>
      <c r="D668" s="4">
        <v>257.635986</v>
      </c>
      <c r="E668" s="4">
        <v>1431.75</v>
      </c>
      <c r="F668" s="4">
        <v>499.64999399999999</v>
      </c>
      <c r="G668" s="3">
        <f>IF('Value at Risk'!$C$5=0,'Market Data - EQ'!B668-'Market Data - EQ'!B669,IF('Value at Risk'!$C$6=0,('Market Data - EQ'!B668-'Market Data - EQ'!B669)/'Market Data - EQ'!B669,LN('Market Data - EQ'!B668/'Market Data - EQ'!B669)))</f>
        <v>7.3079062146579211E-3</v>
      </c>
      <c r="H668" s="3">
        <f>IF('Value at Risk'!$C$5=0,'Market Data - EQ'!C668-'Market Data - EQ'!C669,IF('Value at Risk'!$C$6=0,('Market Data - EQ'!C668-'Market Data - EQ'!C669)/'Market Data - EQ'!C669,LN('Market Data - EQ'!C668/'Market Data - EQ'!C669)))</f>
        <v>1.3797654649140574E-3</v>
      </c>
      <c r="I668" s="3">
        <f>IF('Value at Risk'!$C$5=0,'Market Data - EQ'!D668-'Market Data - EQ'!D669,IF('Value at Risk'!$C$6=0,('Market Data - EQ'!D668-'Market Data - EQ'!D669)/'Market Data - EQ'!D669,LN('Market Data - EQ'!D668/'Market Data - EQ'!D669)))</f>
        <v>3.5407106981622848E-3</v>
      </c>
      <c r="J668" s="3">
        <f>IF('Value at Risk'!$C$5=0,'Market Data - EQ'!E668-'Market Data - EQ'!E669,IF('Value at Risk'!$C$6=0,('Market Data - EQ'!E668-'Market Data - EQ'!E669)/'Market Data - EQ'!E669,LN('Market Data - EQ'!E668/'Market Data - EQ'!E669)))</f>
        <v>-2.438599547117227E-3</v>
      </c>
      <c r="K668" s="3">
        <f>IF('Value at Risk'!$C$5=0,'Market Data - EQ'!F668-'Market Data - EQ'!F669,IF('Value at Risk'!$C$6=0,('Market Data - EQ'!F668-'Market Data - EQ'!F669)/'Market Data - EQ'!F669,LN('Market Data - EQ'!F668/'Market Data - EQ'!F669)))</f>
        <v>-5.3747625515107788E-3</v>
      </c>
      <c r="L668" s="8">
        <f t="shared" si="10"/>
        <v>8.8300405582125165E-4</v>
      </c>
    </row>
    <row r="669" spans="1:12" x14ac:dyDescent="0.25">
      <c r="A669" s="5">
        <v>42842</v>
      </c>
      <c r="B669" s="4">
        <v>718.40002400000003</v>
      </c>
      <c r="C669" s="4">
        <v>289.89999399999999</v>
      </c>
      <c r="D669" s="4">
        <v>256.72699</v>
      </c>
      <c r="E669" s="4">
        <v>1435.25</v>
      </c>
      <c r="F669" s="4">
        <v>502.35000600000001</v>
      </c>
      <c r="G669" s="3">
        <f>IF('Value at Risk'!$C$5=0,'Market Data - EQ'!B669-'Market Data - EQ'!B670,IF('Value at Risk'!$C$6=0,('Market Data - EQ'!B669-'Market Data - EQ'!B670)/'Market Data - EQ'!B670,LN('Market Data - EQ'!B669/'Market Data - EQ'!B670)))</f>
        <v>-2.4300492143009356E-3</v>
      </c>
      <c r="H669" s="3">
        <f>IF('Value at Risk'!$C$5=0,'Market Data - EQ'!C669-'Market Data - EQ'!C670,IF('Value at Risk'!$C$6=0,('Market Data - EQ'!C669-'Market Data - EQ'!C670)/'Market Data - EQ'!C670,LN('Market Data - EQ'!C669/'Market Data - EQ'!C670)))</f>
        <v>-5.6593862730668076E-3</v>
      </c>
      <c r="I669" s="3">
        <f>IF('Value at Risk'!$C$5=0,'Market Data - EQ'!D669-'Market Data - EQ'!D670,IF('Value at Risk'!$C$6=0,('Market Data - EQ'!D669-'Market Data - EQ'!D670)/'Market Data - EQ'!D670,LN('Market Data - EQ'!D669/'Market Data - EQ'!D670)))</f>
        <v>-1.4158916327383106E-3</v>
      </c>
      <c r="J669" s="3">
        <f>IF('Value at Risk'!$C$5=0,'Market Data - EQ'!E669-'Market Data - EQ'!E670,IF('Value at Risk'!$C$6=0,('Market Data - EQ'!E669-'Market Data - EQ'!E670)/'Market Data - EQ'!E670,LN('Market Data - EQ'!E669/'Market Data - EQ'!E670)))</f>
        <v>-1.7040767082839355E-3</v>
      </c>
      <c r="K669" s="3">
        <f>IF('Value at Risk'!$C$5=0,'Market Data - EQ'!F669-'Market Data - EQ'!F670,IF('Value at Risk'!$C$6=0,('Market Data - EQ'!F669-'Market Data - EQ'!F670)/'Market Data - EQ'!F670,LN('Market Data - EQ'!F669/'Market Data - EQ'!F670)))</f>
        <v>-1.0245260807690094E-2</v>
      </c>
      <c r="L669" s="8">
        <f t="shared" si="10"/>
        <v>-4.2909329272160165E-3</v>
      </c>
    </row>
    <row r="670" spans="1:12" x14ac:dyDescent="0.25">
      <c r="A670" s="5">
        <v>42838</v>
      </c>
      <c r="B670" s="4">
        <v>720.15002400000003</v>
      </c>
      <c r="C670" s="4">
        <v>291.54998799999998</v>
      </c>
      <c r="D670" s="4">
        <v>257.091003</v>
      </c>
      <c r="E670" s="4">
        <v>1437.6999510000001</v>
      </c>
      <c r="F670" s="4">
        <v>507.54998799999998</v>
      </c>
      <c r="G670" s="3">
        <f>IF('Value at Risk'!$C$5=0,'Market Data - EQ'!B670-'Market Data - EQ'!B671,IF('Value at Risk'!$C$6=0,('Market Data - EQ'!B670-'Market Data - EQ'!B671)/'Market Data - EQ'!B671,LN('Market Data - EQ'!B670/'Market Data - EQ'!B671)))</f>
        <v>-2.3549934979840456E-3</v>
      </c>
      <c r="H670" s="3">
        <f>IF('Value at Risk'!$C$5=0,'Market Data - EQ'!C670-'Market Data - EQ'!C671,IF('Value at Risk'!$C$6=0,('Market Data - EQ'!C670-'Market Data - EQ'!C671)/'Market Data - EQ'!C671,LN('Market Data - EQ'!C670/'Market Data - EQ'!C671)))</f>
        <v>4.8250698912645591E-3</v>
      </c>
      <c r="I670" s="3">
        <f>IF('Value at Risk'!$C$5=0,'Market Data - EQ'!D670-'Market Data - EQ'!D671,IF('Value at Risk'!$C$6=0,('Market Data - EQ'!D670-'Market Data - EQ'!D671)/'Market Data - EQ'!D671,LN('Market Data - EQ'!D670/'Market Data - EQ'!D671)))</f>
        <v>7.1218187415397847E-3</v>
      </c>
      <c r="J670" s="3">
        <f>IF('Value at Risk'!$C$5=0,'Market Data - EQ'!E670-'Market Data - EQ'!E671,IF('Value at Risk'!$C$6=0,('Market Data - EQ'!E670-'Market Data - EQ'!E671)/'Market Data - EQ'!E671,LN('Market Data - EQ'!E670/'Market Data - EQ'!E671)))</f>
        <v>-3.4810641627504431E-5</v>
      </c>
      <c r="K670" s="3">
        <f>IF('Value at Risk'!$C$5=0,'Market Data - EQ'!F670-'Market Data - EQ'!F671,IF('Value at Risk'!$C$6=0,('Market Data - EQ'!F670-'Market Data - EQ'!F671)/'Market Data - EQ'!F671,LN('Market Data - EQ'!F670/'Market Data - EQ'!F671)))</f>
        <v>3.063217391304318E-3</v>
      </c>
      <c r="L670" s="8">
        <f t="shared" si="10"/>
        <v>2.5240603768994221E-3</v>
      </c>
    </row>
    <row r="671" spans="1:12" x14ac:dyDescent="0.25">
      <c r="A671" s="5">
        <v>42837</v>
      </c>
      <c r="B671" s="4">
        <v>721.84997599999997</v>
      </c>
      <c r="C671" s="4">
        <v>290.14999399999999</v>
      </c>
      <c r="D671" s="4">
        <v>255.27299500000001</v>
      </c>
      <c r="E671" s="4">
        <v>1437.75</v>
      </c>
      <c r="F671" s="4">
        <v>506</v>
      </c>
      <c r="G671" s="3">
        <f>IF('Value at Risk'!$C$5=0,'Market Data - EQ'!B671-'Market Data - EQ'!B672,IF('Value at Risk'!$C$6=0,('Market Data - EQ'!B671-'Market Data - EQ'!B672)/'Market Data - EQ'!B672,LN('Market Data - EQ'!B671/'Market Data - EQ'!B672)))</f>
        <v>2.9176464050016944E-3</v>
      </c>
      <c r="H671" s="3">
        <f>IF('Value at Risk'!$C$5=0,'Market Data - EQ'!C671-'Market Data - EQ'!C672,IF('Value at Risk'!$C$6=0,('Market Data - EQ'!C671-'Market Data - EQ'!C672)/'Market Data - EQ'!C672,LN('Market Data - EQ'!C671/'Market Data - EQ'!C672)))</f>
        <v>-1.4770818336163014E-2</v>
      </c>
      <c r="I671" s="3">
        <f>IF('Value at Risk'!$C$5=0,'Market Data - EQ'!D671-'Market Data - EQ'!D672,IF('Value at Risk'!$C$6=0,('Market Data - EQ'!D671-'Market Data - EQ'!D672)/'Market Data - EQ'!D672,LN('Market Data - EQ'!D671/'Market Data - EQ'!D672)))</f>
        <v>-1.0048005380075983E-2</v>
      </c>
      <c r="J671" s="3">
        <f>IF('Value at Risk'!$C$5=0,'Market Data - EQ'!E671-'Market Data - EQ'!E672,IF('Value at Risk'!$C$6=0,('Market Data - EQ'!E671-'Market Data - EQ'!E672)/'Market Data - EQ'!E672,LN('Market Data - EQ'!E671/'Market Data - EQ'!E672)))</f>
        <v>9.3015093015093014E-3</v>
      </c>
      <c r="K671" s="3">
        <f>IF('Value at Risk'!$C$5=0,'Market Data - EQ'!F671-'Market Data - EQ'!F672,IF('Value at Risk'!$C$6=0,('Market Data - EQ'!F671-'Market Data - EQ'!F672)/'Market Data - EQ'!F672,LN('Market Data - EQ'!F671/'Market Data - EQ'!F672)))</f>
        <v>-1.7571086711684353E-2</v>
      </c>
      <c r="L671" s="8">
        <f t="shared" si="10"/>
        <v>-6.0341509442824711E-3</v>
      </c>
    </row>
    <row r="672" spans="1:12" x14ac:dyDescent="0.25">
      <c r="A672" s="5">
        <v>42836</v>
      </c>
      <c r="B672" s="4">
        <v>719.75</v>
      </c>
      <c r="C672" s="4">
        <v>294.5</v>
      </c>
      <c r="D672" s="4">
        <v>257.864014</v>
      </c>
      <c r="E672" s="4">
        <v>1424.5</v>
      </c>
      <c r="F672" s="4">
        <v>515.04998799999998</v>
      </c>
      <c r="G672" s="3">
        <f>IF('Value at Risk'!$C$5=0,'Market Data - EQ'!B672-'Market Data - EQ'!B673,IF('Value at Risk'!$C$6=0,('Market Data - EQ'!B672-'Market Data - EQ'!B673)/'Market Data - EQ'!B673,LN('Market Data - EQ'!B672/'Market Data - EQ'!B673)))</f>
        <v>3.7304158633824835E-3</v>
      </c>
      <c r="H672" s="3">
        <f>IF('Value at Risk'!$C$5=0,'Market Data - EQ'!C672-'Market Data - EQ'!C673,IF('Value at Risk'!$C$6=0,('Market Data - EQ'!C672-'Market Data - EQ'!C673)/'Market Data - EQ'!C673,LN('Market Data - EQ'!C672/'Market Data - EQ'!C673)))</f>
        <v>1.779849280528438E-2</v>
      </c>
      <c r="I672" s="3">
        <f>IF('Value at Risk'!$C$5=0,'Market Data - EQ'!D672-'Market Data - EQ'!D673,IF('Value at Risk'!$C$6=0,('Market Data - EQ'!D672-'Market Data - EQ'!D673)/'Market Data - EQ'!D673,LN('Market Data - EQ'!D672/'Market Data - EQ'!D673)))</f>
        <v>2.1611816792727074E-2</v>
      </c>
      <c r="J672" s="3">
        <f>IF('Value at Risk'!$C$5=0,'Market Data - EQ'!E672-'Market Data - EQ'!E673,IF('Value at Risk'!$C$6=0,('Market Data - EQ'!E672-'Market Data - EQ'!E673)/'Market Data - EQ'!E673,LN('Market Data - EQ'!E672/'Market Data - EQ'!E673)))</f>
        <v>-5.9632792949930891E-4</v>
      </c>
      <c r="K672" s="3">
        <f>IF('Value at Risk'!$C$5=0,'Market Data - EQ'!F672-'Market Data - EQ'!F673,IF('Value at Risk'!$C$6=0,('Market Data - EQ'!F672-'Market Data - EQ'!F673)/'Market Data - EQ'!F673,LN('Market Data - EQ'!F672/'Market Data - EQ'!F673)))</f>
        <v>8.4189681840430436E-3</v>
      </c>
      <c r="L672" s="8">
        <f t="shared" si="10"/>
        <v>1.0192673143187534E-2</v>
      </c>
    </row>
    <row r="673" spans="1:12" x14ac:dyDescent="0.25">
      <c r="A673" s="5">
        <v>42835</v>
      </c>
      <c r="B673" s="4">
        <v>717.07501200000002</v>
      </c>
      <c r="C673" s="4">
        <v>289.35000600000001</v>
      </c>
      <c r="D673" s="4">
        <v>252.408997</v>
      </c>
      <c r="E673" s="4">
        <v>1425.349976</v>
      </c>
      <c r="F673" s="4">
        <v>510.75</v>
      </c>
      <c r="G673" s="3">
        <f>IF('Value at Risk'!$C$5=0,'Market Data - EQ'!B673-'Market Data - EQ'!B674,IF('Value at Risk'!$C$6=0,('Market Data - EQ'!B673-'Market Data - EQ'!B674)/'Market Data - EQ'!B674,LN('Market Data - EQ'!B673/'Market Data - EQ'!B674)))</f>
        <v>-3.2664642446363981E-3</v>
      </c>
      <c r="H673" s="3">
        <f>IF('Value at Risk'!$C$5=0,'Market Data - EQ'!C673-'Market Data - EQ'!C674,IF('Value at Risk'!$C$6=0,('Market Data - EQ'!C673-'Market Data - EQ'!C674)/'Market Data - EQ'!C674,LN('Market Data - EQ'!C673/'Market Data - EQ'!C674)))</f>
        <v>-3.4550352687498796E-4</v>
      </c>
      <c r="I673" s="3">
        <f>IF('Value at Risk'!$C$5=0,'Market Data - EQ'!D673-'Market Data - EQ'!D674,IF('Value at Risk'!$C$6=0,('Market Data - EQ'!D673-'Market Data - EQ'!D674)/'Market Data - EQ'!D674,LN('Market Data - EQ'!D673/'Market Data - EQ'!D674)))</f>
        <v>1.0827291534511155E-3</v>
      </c>
      <c r="J673" s="3">
        <f>IF('Value at Risk'!$C$5=0,'Market Data - EQ'!E673-'Market Data - EQ'!E674,IF('Value at Risk'!$C$6=0,('Market Data - EQ'!E673-'Market Data - EQ'!E674)/'Market Data - EQ'!E674,LN('Market Data - EQ'!E673/'Market Data - EQ'!E674)))</f>
        <v>9.3117302480347653E-3</v>
      </c>
      <c r="K673" s="3">
        <f>IF('Value at Risk'!$C$5=0,'Market Data - EQ'!F673-'Market Data - EQ'!F674,IF('Value at Risk'!$C$6=0,('Market Data - EQ'!F673-'Market Data - EQ'!F674)/'Market Data - EQ'!F674,LN('Market Data - EQ'!F673/'Market Data - EQ'!F674)))</f>
        <v>1.299085252699277E-2</v>
      </c>
      <c r="L673" s="8">
        <f t="shared" si="10"/>
        <v>3.9546688313934529E-3</v>
      </c>
    </row>
    <row r="674" spans="1:12" x14ac:dyDescent="0.25">
      <c r="A674" s="5">
        <v>42832</v>
      </c>
      <c r="B674" s="4">
        <v>719.42498799999998</v>
      </c>
      <c r="C674" s="4">
        <v>289.45001200000002</v>
      </c>
      <c r="D674" s="4">
        <v>252.13600199999999</v>
      </c>
      <c r="E674" s="4">
        <v>1412.1999510000001</v>
      </c>
      <c r="F674" s="4">
        <v>504.20001200000002</v>
      </c>
      <c r="G674" s="3">
        <f>IF('Value at Risk'!$C$5=0,'Market Data - EQ'!B674-'Market Data - EQ'!B675,IF('Value at Risk'!$C$6=0,('Market Data - EQ'!B674-'Market Data - EQ'!B675)/'Market Data - EQ'!B675,LN('Market Data - EQ'!B674/'Market Data - EQ'!B675)))</f>
        <v>2.432923183871878E-4</v>
      </c>
      <c r="H674" s="3">
        <f>IF('Value at Risk'!$C$5=0,'Market Data - EQ'!C674-'Market Data - EQ'!C675,IF('Value at Risk'!$C$6=0,('Market Data - EQ'!C674-'Market Data - EQ'!C675)/'Market Data - EQ'!C675,LN('Market Data - EQ'!C674/'Market Data - EQ'!C675)))</f>
        <v>-1.1610018543076254E-2</v>
      </c>
      <c r="I674" s="3">
        <f>IF('Value at Risk'!$C$5=0,'Market Data - EQ'!D674-'Market Data - EQ'!D675,IF('Value at Risk'!$C$6=0,('Market Data - EQ'!D674-'Market Data - EQ'!D675)/'Market Data - EQ'!D675,LN('Market Data - EQ'!D674/'Market Data - EQ'!D675)))</f>
        <v>-1.2462854507868588E-2</v>
      </c>
      <c r="J674" s="3">
        <f>IF('Value at Risk'!$C$5=0,'Market Data - EQ'!E674-'Market Data - EQ'!E675,IF('Value at Risk'!$C$6=0,('Market Data - EQ'!E674-'Market Data - EQ'!E675)/'Market Data - EQ'!E675,LN('Market Data - EQ'!E674/'Market Data - EQ'!E675)))</f>
        <v>-6.6472569482402899E-3</v>
      </c>
      <c r="K674" s="3">
        <f>IF('Value at Risk'!$C$5=0,'Market Data - EQ'!F674-'Market Data - EQ'!F675,IF('Value at Risk'!$C$6=0,('Market Data - EQ'!F674-'Market Data - EQ'!F675)/'Market Data - EQ'!F675,LN('Market Data - EQ'!F674/'Market Data - EQ'!F675)))</f>
        <v>-8.8460780299726045E-3</v>
      </c>
      <c r="L674" s="8">
        <f t="shared" si="10"/>
        <v>-7.864583142154111E-3</v>
      </c>
    </row>
    <row r="675" spans="1:12" x14ac:dyDescent="0.25">
      <c r="A675" s="5">
        <v>42831</v>
      </c>
      <c r="B675" s="4">
        <v>719.25</v>
      </c>
      <c r="C675" s="4">
        <v>292.85000600000001</v>
      </c>
      <c r="D675" s="4">
        <v>255.317993</v>
      </c>
      <c r="E675" s="4">
        <v>1421.650024</v>
      </c>
      <c r="F675" s="4">
        <v>508.70001200000002</v>
      </c>
      <c r="G675" s="3">
        <f>IF('Value at Risk'!$C$5=0,'Market Data - EQ'!B675-'Market Data - EQ'!B676,IF('Value at Risk'!$C$6=0,('Market Data - EQ'!B675-'Market Data - EQ'!B676)/'Market Data - EQ'!B676,LN('Market Data - EQ'!B675/'Market Data - EQ'!B676)))</f>
        <v>4.2936601410604068E-3</v>
      </c>
      <c r="H675" s="3">
        <f>IF('Value at Risk'!$C$5=0,'Market Data - EQ'!C675-'Market Data - EQ'!C676,IF('Value at Risk'!$C$6=0,('Market Data - EQ'!C675-'Market Data - EQ'!C676)/'Market Data - EQ'!C676,LN('Market Data - EQ'!C675/'Market Data - EQ'!C676)))</f>
        <v>-1.5133680542115072E-2</v>
      </c>
      <c r="I675" s="3">
        <f>IF('Value at Risk'!$C$5=0,'Market Data - EQ'!D675-'Market Data - EQ'!D676,IF('Value at Risk'!$C$6=0,('Market Data - EQ'!D675-'Market Data - EQ'!D676)/'Market Data - EQ'!D676,LN('Market Data - EQ'!D675/'Market Data - EQ'!D676)))</f>
        <v>-1.40448888130508E-2</v>
      </c>
      <c r="J675" s="3">
        <f>IF('Value at Risk'!$C$5=0,'Market Data - EQ'!E675-'Market Data - EQ'!E676,IF('Value at Risk'!$C$6=0,('Market Data - EQ'!E675-'Market Data - EQ'!E676)/'Market Data - EQ'!E676,LN('Market Data - EQ'!E675/'Market Data - EQ'!E676)))</f>
        <v>1.4775740550348878E-2</v>
      </c>
      <c r="K675" s="3">
        <f>IF('Value at Risk'!$C$5=0,'Market Data - EQ'!F675-'Market Data - EQ'!F676,IF('Value at Risk'!$C$6=0,('Market Data - EQ'!F675-'Market Data - EQ'!F676)/'Market Data - EQ'!F676,LN('Market Data - EQ'!F675/'Market Data - EQ'!F676)))</f>
        <v>7.8698408310808455E-4</v>
      </c>
      <c r="L675" s="8">
        <f t="shared" si="10"/>
        <v>-1.8644369161297009E-3</v>
      </c>
    </row>
    <row r="676" spans="1:12" x14ac:dyDescent="0.25">
      <c r="A676" s="5">
        <v>42830</v>
      </c>
      <c r="B676" s="4">
        <v>716.17498799999998</v>
      </c>
      <c r="C676" s="4">
        <v>297.35000600000001</v>
      </c>
      <c r="D676" s="4">
        <v>258.95498700000002</v>
      </c>
      <c r="E676" s="4">
        <v>1400.9499510000001</v>
      </c>
      <c r="F676" s="4">
        <v>508.29998799999998</v>
      </c>
      <c r="G676" s="3">
        <f>IF('Value at Risk'!$C$5=0,'Market Data - EQ'!B676-'Market Data - EQ'!B677,IF('Value at Risk'!$C$6=0,('Market Data - EQ'!B676-'Market Data - EQ'!B677)/'Market Data - EQ'!B677,LN('Market Data - EQ'!B676/'Market Data - EQ'!B677)))</f>
        <v>-5.9306170001879107E-4</v>
      </c>
      <c r="H676" s="3">
        <f>IF('Value at Risk'!$C$5=0,'Market Data - EQ'!C676-'Market Data - EQ'!C677,IF('Value at Risk'!$C$6=0,('Market Data - EQ'!C676-'Market Data - EQ'!C677)/'Market Data - EQ'!C677,LN('Market Data - EQ'!C676/'Market Data - EQ'!C677)))</f>
        <v>1.4327177506270102E-2</v>
      </c>
      <c r="I676" s="3">
        <f>IF('Value at Risk'!$C$5=0,'Market Data - EQ'!D676-'Market Data - EQ'!D677,IF('Value at Risk'!$C$6=0,('Market Data - EQ'!D676-'Market Data - EQ'!D677)/'Market Data - EQ'!D677,LN('Market Data - EQ'!D676/'Market Data - EQ'!D677)))</f>
        <v>-6.44960439192762E-3</v>
      </c>
      <c r="J676" s="3">
        <f>IF('Value at Risk'!$C$5=0,'Market Data - EQ'!E676-'Market Data - EQ'!E677,IF('Value at Risk'!$C$6=0,('Market Data - EQ'!E676-'Market Data - EQ'!E677)/'Market Data - EQ'!E677,LN('Market Data - EQ'!E676/'Market Data - EQ'!E677)))</f>
        <v>-1.7813246551604317E-3</v>
      </c>
      <c r="K676" s="3">
        <f>IF('Value at Risk'!$C$5=0,'Market Data - EQ'!F676-'Market Data - EQ'!F677,IF('Value at Risk'!$C$6=0,('Market Data - EQ'!F676-'Market Data - EQ'!F677)/'Market Data - EQ'!F677,LN('Market Data - EQ'!F676/'Market Data - EQ'!F677)))</f>
        <v>1.5381506008212028E-2</v>
      </c>
      <c r="L676" s="8">
        <f t="shared" si="10"/>
        <v>4.1769385534750573E-3</v>
      </c>
    </row>
    <row r="677" spans="1:12" x14ac:dyDescent="0.25">
      <c r="A677" s="5">
        <v>42828</v>
      </c>
      <c r="B677" s="4">
        <v>716.59997599999997</v>
      </c>
      <c r="C677" s="4">
        <v>293.14999399999999</v>
      </c>
      <c r="D677" s="4">
        <v>260.635986</v>
      </c>
      <c r="E677" s="4">
        <v>1403.4499510000001</v>
      </c>
      <c r="F677" s="4">
        <v>500.60000600000001</v>
      </c>
      <c r="G677" s="3">
        <f>IF('Value at Risk'!$C$5=0,'Market Data - EQ'!B677-'Market Data - EQ'!B678,IF('Value at Risk'!$C$6=0,('Market Data - EQ'!B677-'Market Data - EQ'!B678)/'Market Data - EQ'!B678,LN('Market Data - EQ'!B677/'Market Data - EQ'!B678)))</f>
        <v>-6.4816440947497176E-3</v>
      </c>
      <c r="H677" s="3">
        <f>IF('Value at Risk'!$C$5=0,'Market Data - EQ'!C677-'Market Data - EQ'!C678,IF('Value at Risk'!$C$6=0,('Market Data - EQ'!C677-'Market Data - EQ'!C678)/'Market Data - EQ'!C678,LN('Market Data - EQ'!C677/'Market Data - EQ'!C678)))</f>
        <v>-8.5207909036289897E-4</v>
      </c>
      <c r="I677" s="3">
        <f>IF('Value at Risk'!$C$5=0,'Market Data - EQ'!D677-'Market Data - EQ'!D678,IF('Value at Risk'!$C$6=0,('Market Data - EQ'!D677-'Market Data - EQ'!D678)/'Market Data - EQ'!D678,LN('Market Data - EQ'!D677/'Market Data - EQ'!D678)))</f>
        <v>3.5576555935522253E-2</v>
      </c>
      <c r="J677" s="3">
        <f>IF('Value at Risk'!$C$5=0,'Market Data - EQ'!E677-'Market Data - EQ'!E678,IF('Value at Risk'!$C$6=0,('Market Data - EQ'!E677-'Market Data - EQ'!E678)/'Market Data - EQ'!E678,LN('Market Data - EQ'!E677/'Market Data - EQ'!E678)))</f>
        <v>-1.522651835565627E-2</v>
      </c>
      <c r="K677" s="3">
        <f>IF('Value at Risk'!$C$5=0,'Market Data - EQ'!F677-'Market Data - EQ'!F678,IF('Value at Risk'!$C$6=0,('Market Data - EQ'!F677-'Market Data - EQ'!F678)/'Market Data - EQ'!F678,LN('Market Data - EQ'!F677/'Market Data - EQ'!F678)))</f>
        <v>1.9967437326017259E-2</v>
      </c>
      <c r="L677" s="8">
        <f t="shared" si="10"/>
        <v>6.5967503441541255E-3</v>
      </c>
    </row>
    <row r="678" spans="1:12" x14ac:dyDescent="0.25">
      <c r="A678" s="5">
        <v>42825</v>
      </c>
      <c r="B678" s="4">
        <v>721.27502400000003</v>
      </c>
      <c r="C678" s="4">
        <v>293.39999399999999</v>
      </c>
      <c r="D678" s="4">
        <v>251.682007</v>
      </c>
      <c r="E678" s="4">
        <v>1425.150024</v>
      </c>
      <c r="F678" s="4">
        <v>490.79998799999998</v>
      </c>
      <c r="G678" s="3">
        <f>IF('Value at Risk'!$C$5=0,'Market Data - EQ'!B678-'Market Data - EQ'!B679,IF('Value at Risk'!$C$6=0,('Market Data - EQ'!B678-'Market Data - EQ'!B679)/'Market Data - EQ'!B679,LN('Market Data - EQ'!B678/'Market Data - EQ'!B679)))</f>
        <v>-1.6130067367509968E-2</v>
      </c>
      <c r="H678" s="3">
        <f>IF('Value at Risk'!$C$5=0,'Market Data - EQ'!C678-'Market Data - EQ'!C679,IF('Value at Risk'!$C$6=0,('Market Data - EQ'!C678-'Market Data - EQ'!C679)/'Market Data - EQ'!C679,LN('Market Data - EQ'!C678/'Market Data - EQ'!C679)))</f>
        <v>8.0742350004838603E-3</v>
      </c>
      <c r="I678" s="3">
        <f>IF('Value at Risk'!$C$5=0,'Market Data - EQ'!D678-'Market Data - EQ'!D679,IF('Value at Risk'!$C$6=0,('Market Data - EQ'!D678-'Market Data - EQ'!D679)/'Market Data - EQ'!D679,LN('Market Data - EQ'!D678/'Market Data - EQ'!D679)))</f>
        <v>-1.5994604903461405E-2</v>
      </c>
      <c r="J678" s="3">
        <f>IF('Value at Risk'!$C$5=0,'Market Data - EQ'!E678-'Market Data - EQ'!E679,IF('Value at Risk'!$C$6=0,('Market Data - EQ'!E678-'Market Data - EQ'!E679)/'Market Data - EQ'!E679,LN('Market Data - EQ'!E678/'Market Data - EQ'!E679)))</f>
        <v>2.003779021173391E-3</v>
      </c>
      <c r="K678" s="3">
        <f>IF('Value at Risk'!$C$5=0,'Market Data - EQ'!F678-'Market Data - EQ'!F679,IF('Value at Risk'!$C$6=0,('Market Data - EQ'!F678-'Market Data - EQ'!F679)/'Market Data - EQ'!F679,LN('Market Data - EQ'!F678/'Market Data - EQ'!F679)))</f>
        <v>-1.6925412118177295E-2</v>
      </c>
      <c r="L678" s="8">
        <f t="shared" si="10"/>
        <v>-7.7944140734982851E-3</v>
      </c>
    </row>
    <row r="679" spans="1:12" x14ac:dyDescent="0.25">
      <c r="A679" s="5">
        <v>42824</v>
      </c>
      <c r="B679" s="4">
        <v>733.09997599999997</v>
      </c>
      <c r="C679" s="4">
        <v>291.04998799999998</v>
      </c>
      <c r="D679" s="4">
        <v>255.77299500000001</v>
      </c>
      <c r="E679" s="4">
        <v>1422.3000489999999</v>
      </c>
      <c r="F679" s="4">
        <v>499.25</v>
      </c>
      <c r="G679" s="3">
        <f>IF('Value at Risk'!$C$5=0,'Market Data - EQ'!B679-'Market Data - EQ'!B680,IF('Value at Risk'!$C$6=0,('Market Data - EQ'!B679-'Market Data - EQ'!B680)/'Market Data - EQ'!B680,LN('Market Data - EQ'!B679/'Market Data - EQ'!B680)))</f>
        <v>2.6319457253021802E-2</v>
      </c>
      <c r="H679" s="3">
        <f>IF('Value at Risk'!$C$5=0,'Market Data - EQ'!C679-'Market Data - EQ'!C680,IF('Value at Risk'!$C$6=0,('Market Data - EQ'!C679-'Market Data - EQ'!C680)/'Market Data - EQ'!C680,LN('Market Data - EQ'!C679/'Market Data - EQ'!C680)))</f>
        <v>9.0136103027791507E-3</v>
      </c>
      <c r="I679" s="3">
        <f>IF('Value at Risk'!$C$5=0,'Market Data - EQ'!D679-'Market Data - EQ'!D680,IF('Value at Risk'!$C$6=0,('Market Data - EQ'!D679-'Market Data - EQ'!D680)/'Market Data - EQ'!D680,LN('Market Data - EQ'!D679/'Market Data - EQ'!D680)))</f>
        <v>-3.0092886662348582E-3</v>
      </c>
      <c r="J679" s="3">
        <f>IF('Value at Risk'!$C$5=0,'Market Data - EQ'!E679-'Market Data - EQ'!E680,IF('Value at Risk'!$C$6=0,('Market Data - EQ'!E679-'Market Data - EQ'!E680)/'Market Data - EQ'!E680,LN('Market Data - EQ'!E679/'Market Data - EQ'!E680)))</f>
        <v>1.7163698175626681E-2</v>
      </c>
      <c r="K679" s="3">
        <f>IF('Value at Risk'!$C$5=0,'Market Data - EQ'!F679-'Market Data - EQ'!F680,IF('Value at Risk'!$C$6=0,('Market Data - EQ'!F679-'Market Data - EQ'!F680)/'Market Data - EQ'!F680,LN('Market Data - EQ'!F679/'Market Data - EQ'!F680)))</f>
        <v>-9.8175562915298279E-3</v>
      </c>
      <c r="L679" s="8">
        <f t="shared" si="10"/>
        <v>7.9339841547325912E-3</v>
      </c>
    </row>
    <row r="680" spans="1:12" x14ac:dyDescent="0.25">
      <c r="A680" s="5">
        <v>42823</v>
      </c>
      <c r="B680" s="4">
        <v>714.29998799999998</v>
      </c>
      <c r="C680" s="4">
        <v>288.45001200000002</v>
      </c>
      <c r="D680" s="4">
        <v>256.54501299999998</v>
      </c>
      <c r="E680" s="4">
        <v>1398.3000489999999</v>
      </c>
      <c r="F680" s="4">
        <v>504.20001200000002</v>
      </c>
      <c r="G680" s="3">
        <f>IF('Value at Risk'!$C$5=0,'Market Data - EQ'!B680-'Market Data - EQ'!B681,IF('Value at Risk'!$C$6=0,('Market Data - EQ'!B680-'Market Data - EQ'!B681)/'Market Data - EQ'!B681,LN('Market Data - EQ'!B680/'Market Data - EQ'!B681)))</f>
        <v>5.9146770059882604E-3</v>
      </c>
      <c r="H680" s="3">
        <f>IF('Value at Risk'!$C$5=0,'Market Data - EQ'!C680-'Market Data - EQ'!C681,IF('Value at Risk'!$C$6=0,('Market Data - EQ'!C680-'Market Data - EQ'!C681)/'Market Data - EQ'!C681,LN('Market Data - EQ'!C680/'Market Data - EQ'!C681)))</f>
        <v>2.2509769106491998E-2</v>
      </c>
      <c r="I680" s="3">
        <f>IF('Value at Risk'!$C$5=0,'Market Data - EQ'!D680-'Market Data - EQ'!D681,IF('Value at Risk'!$C$6=0,('Market Data - EQ'!D680-'Market Data - EQ'!D681)/'Market Data - EQ'!D681,LN('Market Data - EQ'!D680/'Market Data - EQ'!D681)))</f>
        <v>1.8771573642078793E-2</v>
      </c>
      <c r="J680" s="3">
        <f>IF('Value at Risk'!$C$5=0,'Market Data - EQ'!E680-'Market Data - EQ'!E681,IF('Value at Risk'!$C$6=0,('Market Data - EQ'!E680-'Market Data - EQ'!E681)/'Market Data - EQ'!E681,LN('Market Data - EQ'!E680/'Market Data - EQ'!E681)))</f>
        <v>-4.237102367812039E-3</v>
      </c>
      <c r="K680" s="3">
        <f>IF('Value at Risk'!$C$5=0,'Market Data - EQ'!F680-'Market Data - EQ'!F681,IF('Value at Risk'!$C$6=0,('Market Data - EQ'!F680-'Market Data - EQ'!F681)/'Market Data - EQ'!F681,LN('Market Data - EQ'!F680/'Market Data - EQ'!F681)))</f>
        <v>2.7844551181652583E-3</v>
      </c>
      <c r="L680" s="8">
        <f t="shared" si="10"/>
        <v>9.1486745009824559E-3</v>
      </c>
    </row>
    <row r="681" spans="1:12" x14ac:dyDescent="0.25">
      <c r="A681" s="5">
        <v>42822</v>
      </c>
      <c r="B681" s="4">
        <v>710.09997599999997</v>
      </c>
      <c r="C681" s="4">
        <v>282.10000600000001</v>
      </c>
      <c r="D681" s="4">
        <v>251.817993</v>
      </c>
      <c r="E681" s="4">
        <v>1404.25</v>
      </c>
      <c r="F681" s="4">
        <v>502.79998799999998</v>
      </c>
      <c r="G681" s="3">
        <f>IF('Value at Risk'!$C$5=0,'Market Data - EQ'!B681-'Market Data - EQ'!B682,IF('Value at Risk'!$C$6=0,('Market Data - EQ'!B681-'Market Data - EQ'!B682)/'Market Data - EQ'!B682,LN('Market Data - EQ'!B681/'Market Data - EQ'!B682)))</f>
        <v>7.3411896132131223E-3</v>
      </c>
      <c r="H681" s="3">
        <f>IF('Value at Risk'!$C$5=0,'Market Data - EQ'!C681-'Market Data - EQ'!C682,IF('Value at Risk'!$C$6=0,('Market Data - EQ'!C681-'Market Data - EQ'!C682)/'Market Data - EQ'!C682,LN('Market Data - EQ'!C681/'Market Data - EQ'!C682)))</f>
        <v>9.4828909865997506E-3</v>
      </c>
      <c r="I681" s="3">
        <f>IF('Value at Risk'!$C$5=0,'Market Data - EQ'!D681-'Market Data - EQ'!D682,IF('Value at Risk'!$C$6=0,('Market Data - EQ'!D681-'Market Data - EQ'!D682)/'Market Data - EQ'!D682,LN('Market Data - EQ'!D681/'Market Data - EQ'!D682)))</f>
        <v>1.409483041367848E-2</v>
      </c>
      <c r="J681" s="3">
        <f>IF('Value at Risk'!$C$5=0,'Market Data - EQ'!E681-'Market Data - EQ'!E682,IF('Value at Risk'!$C$6=0,('Market Data - EQ'!E681-'Market Data - EQ'!E682)/'Market Data - EQ'!E682,LN('Market Data - EQ'!E681/'Market Data - EQ'!E682)))</f>
        <v>1.5334313078969987E-3</v>
      </c>
      <c r="K681" s="3">
        <f>IF('Value at Risk'!$C$5=0,'Market Data - EQ'!F681-'Market Data - EQ'!F682,IF('Value at Risk'!$C$6=0,('Market Data - EQ'!F681-'Market Data - EQ'!F682)/'Market Data - EQ'!F682,LN('Market Data - EQ'!F681/'Market Data - EQ'!F682)))</f>
        <v>3.2125616735612629E-2</v>
      </c>
      <c r="L681" s="8">
        <f t="shared" si="10"/>
        <v>1.2915591811400196E-2</v>
      </c>
    </row>
    <row r="682" spans="1:12" x14ac:dyDescent="0.25">
      <c r="A682" s="5">
        <v>42821</v>
      </c>
      <c r="B682" s="4">
        <v>704.92498799999998</v>
      </c>
      <c r="C682" s="4">
        <v>279.45001200000002</v>
      </c>
      <c r="D682" s="4">
        <v>248.317993</v>
      </c>
      <c r="E682" s="4">
        <v>1402.099976</v>
      </c>
      <c r="F682" s="4">
        <v>487.14999399999999</v>
      </c>
      <c r="G682" s="3">
        <f>IF('Value at Risk'!$C$5=0,'Market Data - EQ'!B682-'Market Data - EQ'!B683,IF('Value at Risk'!$C$6=0,('Market Data - EQ'!B682-'Market Data - EQ'!B683)/'Market Data - EQ'!B683,LN('Market Data - EQ'!B682/'Market Data - EQ'!B683)))</f>
        <v>-1.0180082314264033E-2</v>
      </c>
      <c r="H682" s="3">
        <f>IF('Value at Risk'!$C$5=0,'Market Data - EQ'!C682-'Market Data - EQ'!C683,IF('Value at Risk'!$C$6=0,('Market Data - EQ'!C682-'Market Data - EQ'!C683)/'Market Data - EQ'!C683,LN('Market Data - EQ'!C682/'Market Data - EQ'!C683)))</f>
        <v>1.0669121157323744E-2</v>
      </c>
      <c r="I682" s="3">
        <f>IF('Value at Risk'!$C$5=0,'Market Data - EQ'!D682-'Market Data - EQ'!D683,IF('Value at Risk'!$C$6=0,('Market Data - EQ'!D682-'Market Data - EQ'!D683)/'Market Data - EQ'!D683,LN('Market Data - EQ'!D682/'Market Data - EQ'!D683)))</f>
        <v>-5.8252974866238342E-3</v>
      </c>
      <c r="J682" s="3">
        <f>IF('Value at Risk'!$C$5=0,'Market Data - EQ'!E682-'Market Data - EQ'!E683,IF('Value at Risk'!$C$6=0,('Market Data - EQ'!E682-'Market Data - EQ'!E683)/'Market Data - EQ'!E683,LN('Market Data - EQ'!E682/'Market Data - EQ'!E683)))</f>
        <v>9.0316480568883965E-3</v>
      </c>
      <c r="K682" s="3">
        <f>IF('Value at Risk'!$C$5=0,'Market Data - EQ'!F682-'Market Data - EQ'!F683,IF('Value at Risk'!$C$6=0,('Market Data - EQ'!F682-'Market Data - EQ'!F683)/'Market Data - EQ'!F683,LN('Market Data - EQ'!F682/'Market Data - EQ'!F683)))</f>
        <v>-4.4957841484117916E-3</v>
      </c>
      <c r="L682" s="8">
        <f t="shared" si="10"/>
        <v>-1.6007894701750361E-4</v>
      </c>
    </row>
    <row r="683" spans="1:12" x14ac:dyDescent="0.25">
      <c r="A683" s="5">
        <v>42818</v>
      </c>
      <c r="B683" s="4">
        <v>712.17498799999998</v>
      </c>
      <c r="C683" s="4">
        <v>276.5</v>
      </c>
      <c r="D683" s="4">
        <v>249.77299500000001</v>
      </c>
      <c r="E683" s="4">
        <v>1389.5500489999999</v>
      </c>
      <c r="F683" s="4">
        <v>489.35000600000001</v>
      </c>
      <c r="G683" s="3">
        <f>IF('Value at Risk'!$C$5=0,'Market Data - EQ'!B683-'Market Data - EQ'!B684,IF('Value at Risk'!$C$6=0,('Market Data - EQ'!B683-'Market Data - EQ'!B684)/'Market Data - EQ'!B684,LN('Market Data - EQ'!B683/'Market Data - EQ'!B684)))</f>
        <v>-4.5775720806054444E-3</v>
      </c>
      <c r="H683" s="3">
        <f>IF('Value at Risk'!$C$5=0,'Market Data - EQ'!C683-'Market Data - EQ'!C684,IF('Value at Risk'!$C$6=0,('Market Data - EQ'!C683-'Market Data - EQ'!C684)/'Market Data - EQ'!C684,LN('Market Data - EQ'!C683/'Market Data - EQ'!C684)))</f>
        <v>2.9795158286778398E-2</v>
      </c>
      <c r="I683" s="3">
        <f>IF('Value at Risk'!$C$5=0,'Market Data - EQ'!D683-'Market Data - EQ'!D684,IF('Value at Risk'!$C$6=0,('Market Data - EQ'!D683-'Market Data - EQ'!D684)/'Market Data - EQ'!D684,LN('Market Data - EQ'!D683/'Market Data - EQ'!D684)))</f>
        <v>2.9219257280989976E-2</v>
      </c>
      <c r="J683" s="3">
        <f>IF('Value at Risk'!$C$5=0,'Market Data - EQ'!E683-'Market Data - EQ'!E684,IF('Value at Risk'!$C$6=0,('Market Data - EQ'!E683-'Market Data - EQ'!E684)/'Market Data - EQ'!E684,LN('Market Data - EQ'!E683/'Market Data - EQ'!E684)))</f>
        <v>4.0826829265232486E-3</v>
      </c>
      <c r="K683" s="3">
        <f>IF('Value at Risk'!$C$5=0,'Market Data - EQ'!F683-'Market Data - EQ'!F684,IF('Value at Risk'!$C$6=0,('Market Data - EQ'!F683-'Market Data - EQ'!F684)/'Market Data - EQ'!F684,LN('Market Data - EQ'!F683/'Market Data - EQ'!F684)))</f>
        <v>2.2529564772145573E-3</v>
      </c>
      <c r="L683" s="8">
        <f t="shared" si="10"/>
        <v>1.2154496578180149E-2</v>
      </c>
    </row>
    <row r="684" spans="1:12" x14ac:dyDescent="0.25">
      <c r="A684" s="5">
        <v>42817</v>
      </c>
      <c r="B684" s="4">
        <v>715.45001200000002</v>
      </c>
      <c r="C684" s="4">
        <v>268.5</v>
      </c>
      <c r="D684" s="4">
        <v>242.682007</v>
      </c>
      <c r="E684" s="4">
        <v>1383.900024</v>
      </c>
      <c r="F684" s="4">
        <v>488.25</v>
      </c>
      <c r="G684" s="3">
        <f>IF('Value at Risk'!$C$5=0,'Market Data - EQ'!B684-'Market Data - EQ'!B685,IF('Value at Risk'!$C$6=0,('Market Data - EQ'!B684-'Market Data - EQ'!B685)/'Market Data - EQ'!B685,LN('Market Data - EQ'!B684/'Market Data - EQ'!B685)))</f>
        <v>0</v>
      </c>
      <c r="H684" s="3">
        <f>IF('Value at Risk'!$C$5=0,'Market Data - EQ'!C684-'Market Data - EQ'!C685,IF('Value at Risk'!$C$6=0,('Market Data - EQ'!C684-'Market Data - EQ'!C685)/'Market Data - EQ'!C685,LN('Market Data - EQ'!C684/'Market Data - EQ'!C685)))</f>
        <v>3.7383177570093459E-3</v>
      </c>
      <c r="I684" s="3">
        <f>IF('Value at Risk'!$C$5=0,'Market Data - EQ'!D684-'Market Data - EQ'!D685,IF('Value at Risk'!$C$6=0,('Market Data - EQ'!D684-'Market Data - EQ'!D685)/'Market Data - EQ'!D685,LN('Market Data - EQ'!D684/'Market Data - EQ'!D685)))</f>
        <v>7.3596670198249146E-3</v>
      </c>
      <c r="J684" s="3">
        <f>IF('Value at Risk'!$C$5=0,'Market Data - EQ'!E684-'Market Data - EQ'!E685,IF('Value at Risk'!$C$6=0,('Market Data - EQ'!E684-'Market Data - EQ'!E685)/'Market Data - EQ'!E685,LN('Market Data - EQ'!E684/'Market Data - EQ'!E685)))</f>
        <v>5.3029551992379671E-3</v>
      </c>
      <c r="K684" s="3">
        <f>IF('Value at Risk'!$C$5=0,'Market Data - EQ'!F684-'Market Data - EQ'!F685,IF('Value at Risk'!$C$6=0,('Market Data - EQ'!F684-'Market Data - EQ'!F685)/'Market Data - EQ'!F685,LN('Market Data - EQ'!F684/'Market Data - EQ'!F685)))</f>
        <v>5.7678194062955029E-3</v>
      </c>
      <c r="L684" s="8">
        <f t="shared" si="10"/>
        <v>4.4337518764735462E-3</v>
      </c>
    </row>
    <row r="685" spans="1:12" x14ac:dyDescent="0.25">
      <c r="A685" s="5">
        <v>42816</v>
      </c>
      <c r="B685" s="4">
        <v>715.45001200000002</v>
      </c>
      <c r="C685" s="4">
        <v>267.5</v>
      </c>
      <c r="D685" s="4">
        <v>240.908997</v>
      </c>
      <c r="E685" s="4">
        <v>1376.599976</v>
      </c>
      <c r="F685" s="4">
        <v>485.45001200000002</v>
      </c>
      <c r="G685" s="3">
        <f>IF('Value at Risk'!$C$5=0,'Market Data - EQ'!B685-'Market Data - EQ'!B686,IF('Value at Risk'!$C$6=0,('Market Data - EQ'!B685-'Market Data - EQ'!B686)/'Market Data - EQ'!B686,LN('Market Data - EQ'!B685/'Market Data - EQ'!B686)))</f>
        <v>-6.9745156561828387E-3</v>
      </c>
      <c r="H685" s="3">
        <f>IF('Value at Risk'!$C$5=0,'Market Data - EQ'!C685-'Market Data - EQ'!C686,IF('Value at Risk'!$C$6=0,('Market Data - EQ'!C685-'Market Data - EQ'!C686)/'Market Data - EQ'!C686,LN('Market Data - EQ'!C685/'Market Data - EQ'!C686)))</f>
        <v>-1.7807989326792992E-2</v>
      </c>
      <c r="I685" s="3">
        <f>IF('Value at Risk'!$C$5=0,'Market Data - EQ'!D685-'Market Data - EQ'!D686,IF('Value at Risk'!$C$6=0,('Market Data - EQ'!D685-'Market Data - EQ'!D686)/'Market Data - EQ'!D686,LN('Market Data - EQ'!D685/'Market Data - EQ'!D686)))</f>
        <v>-2.5913990010423552E-2</v>
      </c>
      <c r="J685" s="3">
        <f>IF('Value at Risk'!$C$5=0,'Market Data - EQ'!E685-'Market Data - EQ'!E686,IF('Value at Risk'!$C$6=0,('Market Data - EQ'!E685-'Market Data - EQ'!E686)/'Market Data - EQ'!E686,LN('Market Data - EQ'!E685/'Market Data - EQ'!E686)))</f>
        <v>-9.8183952526524221E-3</v>
      </c>
      <c r="K685" s="3">
        <f>IF('Value at Risk'!$C$5=0,'Market Data - EQ'!F685-'Market Data - EQ'!F686,IF('Value at Risk'!$C$6=0,('Market Data - EQ'!F685-'Market Data - EQ'!F686)/'Market Data - EQ'!F686,LN('Market Data - EQ'!F685/'Market Data - EQ'!F686)))</f>
        <v>-5.8365268688066602E-3</v>
      </c>
      <c r="L685" s="8">
        <f t="shared" si="10"/>
        <v>-1.3270283422971693E-2</v>
      </c>
    </row>
    <row r="686" spans="1:12" x14ac:dyDescent="0.25">
      <c r="A686" s="5">
        <v>42815</v>
      </c>
      <c r="B686" s="4">
        <v>720.47497599999997</v>
      </c>
      <c r="C686" s="4">
        <v>272.35000600000001</v>
      </c>
      <c r="D686" s="4">
        <v>247.317993</v>
      </c>
      <c r="E686" s="4">
        <v>1390.25</v>
      </c>
      <c r="F686" s="4">
        <v>488.29998799999998</v>
      </c>
      <c r="G686" s="3">
        <f>IF('Value at Risk'!$C$5=0,'Market Data - EQ'!B686-'Market Data - EQ'!B687,IF('Value at Risk'!$C$6=0,('Market Data - EQ'!B686-'Market Data - EQ'!B687)/'Market Data - EQ'!B687,LN('Market Data - EQ'!B686/'Market Data - EQ'!B687)))</f>
        <v>3.377185489208566E-3</v>
      </c>
      <c r="H686" s="3">
        <f>IF('Value at Risk'!$C$5=0,'Market Data - EQ'!C686-'Market Data - EQ'!C687,IF('Value at Risk'!$C$6=0,('Market Data - EQ'!C686-'Market Data - EQ'!C687)/'Market Data - EQ'!C687,LN('Market Data - EQ'!C686/'Market Data - EQ'!C687)))</f>
        <v>-5.6589559472571029E-3</v>
      </c>
      <c r="I686" s="3">
        <f>IF('Value at Risk'!$C$5=0,'Market Data - EQ'!D686-'Market Data - EQ'!D687,IF('Value at Risk'!$C$6=0,('Market Data - EQ'!D686-'Market Data - EQ'!D687)/'Market Data - EQ'!D687,LN('Market Data - EQ'!D686/'Market Data - EQ'!D687)))</f>
        <v>-1.0906056996988963E-2</v>
      </c>
      <c r="J686" s="3">
        <f>IF('Value at Risk'!$C$5=0,'Market Data - EQ'!E686-'Market Data - EQ'!E687,IF('Value at Risk'!$C$6=0,('Market Data - EQ'!E686-'Market Data - EQ'!E687)/'Market Data - EQ'!E687,LN('Market Data - EQ'!E686/'Market Data - EQ'!E687)))</f>
        <v>7.719646408576069E-3</v>
      </c>
      <c r="K686" s="3">
        <f>IF('Value at Risk'!$C$5=0,'Market Data - EQ'!F686-'Market Data - EQ'!F687,IF('Value at Risk'!$C$6=0,('Market Data - EQ'!F686-'Market Data - EQ'!F687)/'Market Data - EQ'!F687,LN('Market Data - EQ'!F686/'Market Data - EQ'!F687)))</f>
        <v>-2.8935105551137295E-2</v>
      </c>
      <c r="L686" s="8">
        <f t="shared" si="10"/>
        <v>-6.880657319519745E-3</v>
      </c>
    </row>
    <row r="687" spans="1:12" x14ac:dyDescent="0.25">
      <c r="A687" s="5">
        <v>42814</v>
      </c>
      <c r="B687" s="4">
        <v>718.04998799999998</v>
      </c>
      <c r="C687" s="4">
        <v>273.89999399999999</v>
      </c>
      <c r="D687" s="4">
        <v>250.04499799999999</v>
      </c>
      <c r="E687" s="4">
        <v>1379.599976</v>
      </c>
      <c r="F687" s="4">
        <v>502.85000600000001</v>
      </c>
      <c r="G687" s="3">
        <f>IF('Value at Risk'!$C$5=0,'Market Data - EQ'!B687-'Market Data - EQ'!B688,IF('Value at Risk'!$C$6=0,('Market Data - EQ'!B687-'Market Data - EQ'!B688)/'Market Data - EQ'!B688,LN('Market Data - EQ'!B687/'Market Data - EQ'!B688)))</f>
        <v>7.188694583952499E-3</v>
      </c>
      <c r="H687" s="3">
        <f>IF('Value at Risk'!$C$5=0,'Market Data - EQ'!C687-'Market Data - EQ'!C688,IF('Value at Risk'!$C$6=0,('Market Data - EQ'!C687-'Market Data - EQ'!C688)/'Market Data - EQ'!C688,LN('Market Data - EQ'!C687/'Market Data - EQ'!C688)))</f>
        <v>-9.1190955853167005E-4</v>
      </c>
      <c r="I687" s="3">
        <f>IF('Value at Risk'!$C$5=0,'Market Data - EQ'!D687-'Market Data - EQ'!D688,IF('Value at Risk'!$C$6=0,('Market Data - EQ'!D687-'Market Data - EQ'!D688)/'Market Data - EQ'!D688,LN('Market Data - EQ'!D687/'Market Data - EQ'!D688)))</f>
        <v>-1.9781195497514305E-2</v>
      </c>
      <c r="J687" s="3">
        <f>IF('Value at Risk'!$C$5=0,'Market Data - EQ'!E687-'Market Data - EQ'!E688,IF('Value at Risk'!$C$6=0,('Market Data - EQ'!E687-'Market Data - EQ'!E688)/'Market Data - EQ'!E688,LN('Market Data - EQ'!E687/'Market Data - EQ'!E688)))</f>
        <v>-2.8550271837690312E-3</v>
      </c>
      <c r="K687" s="3">
        <f>IF('Value at Risk'!$C$5=0,'Market Data - EQ'!F687-'Market Data - EQ'!F688,IF('Value at Risk'!$C$6=0,('Market Data - EQ'!F687-'Market Data - EQ'!F688)/'Market Data - EQ'!F688,LN('Market Data - EQ'!F687/'Market Data - EQ'!F688)))</f>
        <v>-2.7651585297035628E-2</v>
      </c>
      <c r="L687" s="8">
        <f t="shared" si="10"/>
        <v>-8.8022045905796261E-3</v>
      </c>
    </row>
    <row r="688" spans="1:12" x14ac:dyDescent="0.25">
      <c r="A688" s="5">
        <v>42811</v>
      </c>
      <c r="B688" s="4">
        <v>712.92498799999998</v>
      </c>
      <c r="C688" s="4">
        <v>274.14999399999999</v>
      </c>
      <c r="D688" s="4">
        <v>255.091003</v>
      </c>
      <c r="E688" s="4">
        <v>1383.5500489999999</v>
      </c>
      <c r="F688" s="4">
        <v>517.15002400000003</v>
      </c>
      <c r="G688" s="3">
        <f>IF('Value at Risk'!$C$5=0,'Market Data - EQ'!B688-'Market Data - EQ'!B689,IF('Value at Risk'!$C$6=0,('Market Data - EQ'!B688-'Market Data - EQ'!B689)/'Market Data - EQ'!B689,LN('Market Data - EQ'!B688/'Market Data - EQ'!B689)))</f>
        <v>5.9971073792151391E-3</v>
      </c>
      <c r="H688" s="3">
        <f>IF('Value at Risk'!$C$5=0,'Market Data - EQ'!C688-'Market Data - EQ'!C689,IF('Value at Risk'!$C$6=0,('Market Data - EQ'!C688-'Market Data - EQ'!C689)/'Market Data - EQ'!C689,LN('Market Data - EQ'!C688/'Market Data - EQ'!C689)))</f>
        <v>-1.8438933839123518E-2</v>
      </c>
      <c r="I688" s="3">
        <f>IF('Value at Risk'!$C$5=0,'Market Data - EQ'!D688-'Market Data - EQ'!D689,IF('Value at Risk'!$C$6=0,('Market Data - EQ'!D688-'Market Data - EQ'!D689)/'Market Data - EQ'!D689,LN('Market Data - EQ'!D688/'Market Data - EQ'!D689)))</f>
        <v>-1.3706456919726561E-2</v>
      </c>
      <c r="J688" s="3">
        <f>IF('Value at Risk'!$C$5=0,'Market Data - EQ'!E688-'Market Data - EQ'!E689,IF('Value at Risk'!$C$6=0,('Market Data - EQ'!E688-'Market Data - EQ'!E689)/'Market Data - EQ'!E689,LN('Market Data - EQ'!E688/'Market Data - EQ'!E689)))</f>
        <v>5.0851765288775202E-3</v>
      </c>
      <c r="K688" s="3">
        <f>IF('Value at Risk'!$C$5=0,'Market Data - EQ'!F688-'Market Data - EQ'!F689,IF('Value at Risk'!$C$6=0,('Market Data - EQ'!F688-'Market Data - EQ'!F689)/'Market Data - EQ'!F689,LN('Market Data - EQ'!F688/'Market Data - EQ'!F689)))</f>
        <v>6.8139780715750532E-3</v>
      </c>
      <c r="L688" s="8">
        <f t="shared" si="10"/>
        <v>-2.8498257558364735E-3</v>
      </c>
    </row>
    <row r="689" spans="1:12" x14ac:dyDescent="0.25">
      <c r="A689" s="5">
        <v>42810</v>
      </c>
      <c r="B689" s="4">
        <v>708.67498799999998</v>
      </c>
      <c r="C689" s="4">
        <v>279.29998799999998</v>
      </c>
      <c r="D689" s="4">
        <v>258.635986</v>
      </c>
      <c r="E689" s="4">
        <v>1376.5500489999999</v>
      </c>
      <c r="F689" s="4">
        <v>513.65002400000003</v>
      </c>
      <c r="G689" s="3">
        <f>IF('Value at Risk'!$C$5=0,'Market Data - EQ'!B689-'Market Data - EQ'!B690,IF('Value at Risk'!$C$6=0,('Market Data - EQ'!B689-'Market Data - EQ'!B690)/'Market Data - EQ'!B690,LN('Market Data - EQ'!B689/'Market Data - EQ'!B690)))</f>
        <v>5.2943668834284951E-4</v>
      </c>
      <c r="H689" s="3">
        <f>IF('Value at Risk'!$C$5=0,'Market Data - EQ'!C689-'Market Data - EQ'!C690,IF('Value at Risk'!$C$6=0,('Market Data - EQ'!C689-'Market Data - EQ'!C690)/'Market Data - EQ'!C690,LN('Market Data - EQ'!C689/'Market Data - EQ'!C690)))</f>
        <v>7.0307624222657392E-3</v>
      </c>
      <c r="I689" s="3">
        <f>IF('Value at Risk'!$C$5=0,'Market Data - EQ'!D689-'Market Data - EQ'!D690,IF('Value at Risk'!$C$6=0,('Market Data - EQ'!D689-'Market Data - EQ'!D690)/'Market Data - EQ'!D690,LN('Market Data - EQ'!D689/'Market Data - EQ'!D690)))</f>
        <v>-2.2798706261257674E-3</v>
      </c>
      <c r="J689" s="3">
        <f>IF('Value at Risk'!$C$5=0,'Market Data - EQ'!E689-'Market Data - EQ'!E690,IF('Value at Risk'!$C$6=0,('Market Data - EQ'!E689-'Market Data - EQ'!E690)/'Market Data - EQ'!E690,LN('Market Data - EQ'!E689/'Market Data - EQ'!E690)))</f>
        <v>2.0914505508175255E-2</v>
      </c>
      <c r="K689" s="3">
        <f>IF('Value at Risk'!$C$5=0,'Market Data - EQ'!F689-'Market Data - EQ'!F690,IF('Value at Risk'!$C$6=0,('Market Data - EQ'!F689-'Market Data - EQ'!F690)/'Market Data - EQ'!F690,LN('Market Data - EQ'!F689/'Market Data - EQ'!F690)))</f>
        <v>3.8108500181157218E-3</v>
      </c>
      <c r="L689" s="8">
        <f t="shared" si="10"/>
        <v>6.0011368021547591E-3</v>
      </c>
    </row>
    <row r="690" spans="1:12" x14ac:dyDescent="0.25">
      <c r="A690" s="5">
        <v>42809</v>
      </c>
      <c r="B690" s="4">
        <v>708.29998799999998</v>
      </c>
      <c r="C690" s="4">
        <v>277.35000600000001</v>
      </c>
      <c r="D690" s="4">
        <v>259.22699</v>
      </c>
      <c r="E690" s="4">
        <v>1348.349976</v>
      </c>
      <c r="F690" s="4">
        <v>511.70001200000002</v>
      </c>
      <c r="G690" s="3">
        <f>IF('Value at Risk'!$C$5=0,'Market Data - EQ'!B690-'Market Data - EQ'!B691,IF('Value at Risk'!$C$6=0,('Market Data - EQ'!B690-'Market Data - EQ'!B691)/'Market Data - EQ'!B691,LN('Market Data - EQ'!B690/'Market Data - EQ'!B691)))</f>
        <v>4.1823379887660408E-3</v>
      </c>
      <c r="H690" s="3">
        <f>IF('Value at Risk'!$C$5=0,'Market Data - EQ'!C690-'Market Data - EQ'!C691,IF('Value at Risk'!$C$6=0,('Market Data - EQ'!C690-'Market Data - EQ'!C691)/'Market Data - EQ'!C691,LN('Market Data - EQ'!C690/'Market Data - EQ'!C691)))</f>
        <v>9.830737516782961E-3</v>
      </c>
      <c r="I690" s="3">
        <f>IF('Value at Risk'!$C$5=0,'Market Data - EQ'!D690-'Market Data - EQ'!D691,IF('Value at Risk'!$C$6=0,('Market Data - EQ'!D690-'Market Data - EQ'!D691)/'Market Data - EQ'!D691,LN('Market Data - EQ'!D690/'Market Data - EQ'!D691)))</f>
        <v>-7.3103520860583419E-3</v>
      </c>
      <c r="J690" s="3">
        <f>IF('Value at Risk'!$C$5=0,'Market Data - EQ'!E690-'Market Data - EQ'!E691,IF('Value at Risk'!$C$6=0,('Market Data - EQ'!E690-'Market Data - EQ'!E691)/'Market Data - EQ'!E691,LN('Market Data - EQ'!E690/'Market Data - EQ'!E691)))</f>
        <v>-4.319875359381168E-3</v>
      </c>
      <c r="K690" s="3">
        <f>IF('Value at Risk'!$C$5=0,'Market Data - EQ'!F690-'Market Data - EQ'!F691,IF('Value at Risk'!$C$6=0,('Market Data - EQ'!F690-'Market Data - EQ'!F691)/'Market Data - EQ'!F691,LN('Market Data - EQ'!F690/'Market Data - EQ'!F691)))</f>
        <v>1.5658994116175752E-3</v>
      </c>
      <c r="L690" s="8">
        <f t="shared" si="10"/>
        <v>7.8974949434541342E-4</v>
      </c>
    </row>
    <row r="691" spans="1:12" x14ac:dyDescent="0.25">
      <c r="A691" s="5">
        <v>42808</v>
      </c>
      <c r="B691" s="4">
        <v>705.34997599999997</v>
      </c>
      <c r="C691" s="4">
        <v>274.64999399999999</v>
      </c>
      <c r="D691" s="4">
        <v>261.135986</v>
      </c>
      <c r="E691" s="4">
        <v>1354.1999510000001</v>
      </c>
      <c r="F691" s="4">
        <v>510.89999399999999</v>
      </c>
      <c r="G691" s="3">
        <f>IF('Value at Risk'!$C$5=0,'Market Data - EQ'!B691-'Market Data - EQ'!B692,IF('Value at Risk'!$C$6=0,('Market Data - EQ'!B691-'Market Data - EQ'!B692)/'Market Data - EQ'!B692,LN('Market Data - EQ'!B691/'Market Data - EQ'!B692)))</f>
        <v>7.5708707818733434E-3</v>
      </c>
      <c r="H691" s="3">
        <f>IF('Value at Risk'!$C$5=0,'Market Data - EQ'!C691-'Market Data - EQ'!C692,IF('Value at Risk'!$C$6=0,('Market Data - EQ'!C691-'Market Data - EQ'!C692)/'Market Data - EQ'!C692,LN('Market Data - EQ'!C691/'Market Data - EQ'!C692)))</f>
        <v>9.5570891920054336E-3</v>
      </c>
      <c r="I691" s="3">
        <f>IF('Value at Risk'!$C$5=0,'Market Data - EQ'!D691-'Market Data - EQ'!D692,IF('Value at Risk'!$C$6=0,('Market Data - EQ'!D691-'Market Data - EQ'!D692)/'Market Data - EQ'!D692,LN('Market Data - EQ'!D691/'Market Data - EQ'!D692)))</f>
        <v>6.1722607292207028E-2</v>
      </c>
      <c r="J691" s="3">
        <f>IF('Value at Risk'!$C$5=0,'Market Data - EQ'!E691-'Market Data - EQ'!E692,IF('Value at Risk'!$C$6=0,('Market Data - EQ'!E691-'Market Data - EQ'!E692)/'Market Data - EQ'!E692,LN('Market Data - EQ'!E691/'Market Data - EQ'!E692)))</f>
        <v>1.3812428223844323E-2</v>
      </c>
      <c r="K691" s="3">
        <f>IF('Value at Risk'!$C$5=0,'Market Data - EQ'!F691-'Market Data - EQ'!F692,IF('Value at Risk'!$C$6=0,('Market Data - EQ'!F691-'Market Data - EQ'!F692)/'Market Data - EQ'!F692,LN('Market Data - EQ'!F691/'Market Data - EQ'!F692)))</f>
        <v>-9.6918584365098571E-3</v>
      </c>
      <c r="L691" s="8">
        <f t="shared" si="10"/>
        <v>1.6594227410684052E-2</v>
      </c>
    </row>
    <row r="692" spans="1:12" x14ac:dyDescent="0.25">
      <c r="A692" s="5">
        <v>42804</v>
      </c>
      <c r="B692" s="4">
        <v>700.04998799999998</v>
      </c>
      <c r="C692" s="4">
        <v>272.04998799999998</v>
      </c>
      <c r="D692" s="4">
        <v>245.95500200000001</v>
      </c>
      <c r="E692" s="4">
        <v>1335.75</v>
      </c>
      <c r="F692" s="4">
        <v>515.90002400000003</v>
      </c>
      <c r="G692" s="3">
        <f>IF('Value at Risk'!$C$5=0,'Market Data - EQ'!B692-'Market Data - EQ'!B693,IF('Value at Risk'!$C$6=0,('Market Data - EQ'!B692-'Market Data - EQ'!B693)/'Market Data - EQ'!B693,LN('Market Data - EQ'!B692/'Market Data - EQ'!B693)))</f>
        <v>4.2318348896342745E-3</v>
      </c>
      <c r="H692" s="3">
        <f>IF('Value at Risk'!$C$5=0,'Market Data - EQ'!C692-'Market Data - EQ'!C693,IF('Value at Risk'!$C$6=0,('Market Data - EQ'!C692-'Market Data - EQ'!C693)/'Market Data - EQ'!C693,LN('Market Data - EQ'!C692/'Market Data - EQ'!C693)))</f>
        <v>-4.3916267154620863E-3</v>
      </c>
      <c r="I692" s="3">
        <f>IF('Value at Risk'!$C$5=0,'Market Data - EQ'!D692-'Market Data - EQ'!D693,IF('Value at Risk'!$C$6=0,('Market Data - EQ'!D692-'Market Data - EQ'!D693)/'Market Data - EQ'!D693,LN('Market Data - EQ'!D692/'Market Data - EQ'!D693)))</f>
        <v>-1.0782831039890931E-2</v>
      </c>
      <c r="J692" s="3">
        <f>IF('Value at Risk'!$C$5=0,'Market Data - EQ'!E692-'Market Data - EQ'!E693,IF('Value at Risk'!$C$6=0,('Market Data - EQ'!E692-'Market Data - EQ'!E693)/'Market Data - EQ'!E693,LN('Market Data - EQ'!E692/'Market Data - EQ'!E693)))</f>
        <v>7.1250476143200807E-3</v>
      </c>
      <c r="K692" s="3">
        <f>IF('Value at Risk'!$C$5=0,'Market Data - EQ'!F692-'Market Data - EQ'!F693,IF('Value at Risk'!$C$6=0,('Market Data - EQ'!F692-'Market Data - EQ'!F693)/'Market Data - EQ'!F693,LN('Market Data - EQ'!F692/'Market Data - EQ'!F693)))</f>
        <v>-9.6824162812200016E-4</v>
      </c>
      <c r="L692" s="8">
        <f t="shared" si="10"/>
        <v>-9.5716337590413239E-4</v>
      </c>
    </row>
    <row r="693" spans="1:12" x14ac:dyDescent="0.25">
      <c r="A693" s="5">
        <v>42803</v>
      </c>
      <c r="B693" s="4">
        <v>697.09997599999997</v>
      </c>
      <c r="C693" s="4">
        <v>273.25</v>
      </c>
      <c r="D693" s="4">
        <v>248.63600199999999</v>
      </c>
      <c r="E693" s="4">
        <v>1326.3000489999999</v>
      </c>
      <c r="F693" s="4">
        <v>516.40002400000003</v>
      </c>
      <c r="G693" s="3">
        <f>IF('Value at Risk'!$C$5=0,'Market Data - EQ'!B693-'Market Data - EQ'!B694,IF('Value at Risk'!$C$6=0,('Market Data - EQ'!B693-'Market Data - EQ'!B694)/'Market Data - EQ'!B694,LN('Market Data - EQ'!B693/'Market Data - EQ'!B694)))</f>
        <v>1.4365752542419281E-3</v>
      </c>
      <c r="H693" s="3">
        <f>IF('Value at Risk'!$C$5=0,'Market Data - EQ'!C693-'Market Data - EQ'!C694,IF('Value at Risk'!$C$6=0,('Market Data - EQ'!C693-'Market Data - EQ'!C694)/'Market Data - EQ'!C694,LN('Market Data - EQ'!C693/'Market Data - EQ'!C694)))</f>
        <v>1.2412026952471913E-2</v>
      </c>
      <c r="I693" s="3">
        <f>IF('Value at Risk'!$C$5=0,'Market Data - EQ'!D693-'Market Data - EQ'!D694,IF('Value at Risk'!$C$6=0,('Market Data - EQ'!D693-'Market Data - EQ'!D694)/'Market Data - EQ'!D694,LN('Market Data - EQ'!D693/'Market Data - EQ'!D694)))</f>
        <v>-3.2831572565540971E-3</v>
      </c>
      <c r="J693" s="3">
        <f>IF('Value at Risk'!$C$5=0,'Market Data - EQ'!E693-'Market Data - EQ'!E694,IF('Value at Risk'!$C$6=0,('Market Data - EQ'!E693-'Market Data - EQ'!E694)/'Market Data - EQ'!E694,LN('Market Data - EQ'!E693/'Market Data - EQ'!E694)))</f>
        <v>-7.9099485364365213E-4</v>
      </c>
      <c r="K693" s="3">
        <f>IF('Value at Risk'!$C$5=0,'Market Data - EQ'!F693-'Market Data - EQ'!F694,IF('Value at Risk'!$C$6=0,('Market Data - EQ'!F693-'Market Data - EQ'!F694)/'Market Data - EQ'!F694,LN('Market Data - EQ'!F693/'Market Data - EQ'!F694)))</f>
        <v>1.2251357587980365E-2</v>
      </c>
      <c r="L693" s="8">
        <f t="shared" si="10"/>
        <v>4.4051615368992918E-3</v>
      </c>
    </row>
    <row r="694" spans="1:12" x14ac:dyDescent="0.25">
      <c r="A694" s="5">
        <v>42802</v>
      </c>
      <c r="B694" s="4">
        <v>696.09997599999997</v>
      </c>
      <c r="C694" s="4">
        <v>269.89999399999999</v>
      </c>
      <c r="D694" s="4">
        <v>249.45500200000001</v>
      </c>
      <c r="E694" s="4">
        <v>1327.349976</v>
      </c>
      <c r="F694" s="4">
        <v>510.14999399999999</v>
      </c>
      <c r="G694" s="3">
        <f>IF('Value at Risk'!$C$5=0,'Market Data - EQ'!B694-'Market Data - EQ'!B695,IF('Value at Risk'!$C$6=0,('Market Data - EQ'!B694-'Market Data - EQ'!B695)/'Market Data - EQ'!B695,LN('Market Data - EQ'!B694/'Market Data - EQ'!B695)))</f>
        <v>4.3283798930617767E-3</v>
      </c>
      <c r="H694" s="3">
        <f>IF('Value at Risk'!$C$5=0,'Market Data - EQ'!C694-'Market Data - EQ'!C695,IF('Value at Risk'!$C$6=0,('Market Data - EQ'!C694-'Market Data - EQ'!C695)/'Market Data - EQ'!C695,LN('Market Data - EQ'!C694/'Market Data - EQ'!C695)))</f>
        <v>7.8416956463792219E-3</v>
      </c>
      <c r="I694" s="3">
        <f>IF('Value at Risk'!$C$5=0,'Market Data - EQ'!D694-'Market Data - EQ'!D695,IF('Value at Risk'!$C$6=0,('Market Data - EQ'!D694-'Market Data - EQ'!D695)/'Market Data - EQ'!D695,LN('Market Data - EQ'!D694/'Market Data - EQ'!D695)))</f>
        <v>-5.7949097775875768E-3</v>
      </c>
      <c r="J694" s="3">
        <f>IF('Value at Risk'!$C$5=0,'Market Data - EQ'!E694-'Market Data - EQ'!E695,IF('Value at Risk'!$C$6=0,('Market Data - EQ'!E694-'Market Data - EQ'!E695)/'Market Data - EQ'!E695,LN('Market Data - EQ'!E694/'Market Data - EQ'!E695)))</f>
        <v>-2.5549682509863089E-3</v>
      </c>
      <c r="K694" s="3">
        <f>IF('Value at Risk'!$C$5=0,'Market Data - EQ'!F694-'Market Data - EQ'!F695,IF('Value at Risk'!$C$6=0,('Market Data - EQ'!F694-'Market Data - EQ'!F695)/'Market Data - EQ'!F695,LN('Market Data - EQ'!F694/'Market Data - EQ'!F695)))</f>
        <v>-3.2239039442884718E-3</v>
      </c>
      <c r="L694" s="8">
        <f t="shared" si="10"/>
        <v>1.1925871331572805E-4</v>
      </c>
    </row>
    <row r="695" spans="1:12" x14ac:dyDescent="0.25">
      <c r="A695" s="5">
        <v>42801</v>
      </c>
      <c r="B695" s="4">
        <v>693.09997599999997</v>
      </c>
      <c r="C695" s="4">
        <v>267.79998799999998</v>
      </c>
      <c r="D695" s="4">
        <v>250.908997</v>
      </c>
      <c r="E695" s="4">
        <v>1330.75</v>
      </c>
      <c r="F695" s="4">
        <v>511.79998799999998</v>
      </c>
      <c r="G695" s="3">
        <f>IF('Value at Risk'!$C$5=0,'Market Data - EQ'!B695-'Market Data - EQ'!B696,IF('Value at Risk'!$C$6=0,('Market Data - EQ'!B695-'Market Data - EQ'!B696)/'Market Data - EQ'!B696,LN('Market Data - EQ'!B695/'Market Data - EQ'!B696)))</f>
        <v>3.9470954191562118E-3</v>
      </c>
      <c r="H695" s="3">
        <f>IF('Value at Risk'!$C$5=0,'Market Data - EQ'!C695-'Market Data - EQ'!C696,IF('Value at Risk'!$C$6=0,('Market Data - EQ'!C695-'Market Data - EQ'!C696)/'Market Data - EQ'!C696,LN('Market Data - EQ'!C695/'Market Data - EQ'!C696)))</f>
        <v>-7.5968795790948502E-3</v>
      </c>
      <c r="I695" s="3">
        <f>IF('Value at Risk'!$C$5=0,'Market Data - EQ'!D695-'Market Data - EQ'!D696,IF('Value at Risk'!$C$6=0,('Market Data - EQ'!D695-'Market Data - EQ'!D696)/'Market Data - EQ'!D696,LN('Market Data - EQ'!D695/'Market Data - EQ'!D696)))</f>
        <v>-2.7107726105770214E-3</v>
      </c>
      <c r="J695" s="3">
        <f>IF('Value at Risk'!$C$5=0,'Market Data - EQ'!E695-'Market Data - EQ'!E696,IF('Value at Risk'!$C$6=0,('Market Data - EQ'!E695-'Market Data - EQ'!E696)/'Market Data - EQ'!E696,LN('Market Data - EQ'!E695/'Market Data - EQ'!E696)))</f>
        <v>8.3731525424599676E-3</v>
      </c>
      <c r="K695" s="3">
        <f>IF('Value at Risk'!$C$5=0,'Market Data - EQ'!F695-'Market Data - EQ'!F696,IF('Value at Risk'!$C$6=0,('Market Data - EQ'!F695-'Market Data - EQ'!F696)/'Market Data - EQ'!F696,LN('Market Data - EQ'!F695/'Market Data - EQ'!F696)))</f>
        <v>-1.3207434075044109E-2</v>
      </c>
      <c r="L695" s="8">
        <f t="shared" si="10"/>
        <v>-2.2389676606199603E-3</v>
      </c>
    </row>
    <row r="696" spans="1:12" x14ac:dyDescent="0.25">
      <c r="A696" s="5">
        <v>42800</v>
      </c>
      <c r="B696" s="4">
        <v>690.375</v>
      </c>
      <c r="C696" s="4">
        <v>269.85000600000001</v>
      </c>
      <c r="D696" s="4">
        <v>251.591003</v>
      </c>
      <c r="E696" s="4">
        <v>1319.6999510000001</v>
      </c>
      <c r="F696" s="4">
        <v>518.65002400000003</v>
      </c>
      <c r="G696" s="3">
        <f>IF('Value at Risk'!$C$5=0,'Market Data - EQ'!B696-'Market Data - EQ'!B697,IF('Value at Risk'!$C$6=0,('Market Data - EQ'!B696-'Market Data - EQ'!B697)/'Market Data - EQ'!B697,LN('Market Data - EQ'!B696/'Market Data - EQ'!B697)))</f>
        <v>2.7233115468409588E-3</v>
      </c>
      <c r="H696" s="3">
        <f>IF('Value at Risk'!$C$5=0,'Market Data - EQ'!C696-'Market Data - EQ'!C697,IF('Value at Risk'!$C$6=0,('Market Data - EQ'!C696-'Market Data - EQ'!C697)/'Market Data - EQ'!C697,LN('Market Data - EQ'!C696/'Market Data - EQ'!C697)))</f>
        <v>1.8109859337175384E-2</v>
      </c>
      <c r="I696" s="3">
        <f>IF('Value at Risk'!$C$5=0,'Market Data - EQ'!D696-'Market Data - EQ'!D697,IF('Value at Risk'!$C$6=0,('Market Data - EQ'!D696-'Market Data - EQ'!D697)/'Market Data - EQ'!D697,LN('Market Data - EQ'!D696/'Market Data - EQ'!D697)))</f>
        <v>2.8980045195643863E-3</v>
      </c>
      <c r="J696" s="3">
        <f>IF('Value at Risk'!$C$5=0,'Market Data - EQ'!E696-'Market Data - EQ'!E697,IF('Value at Risk'!$C$6=0,('Market Data - EQ'!E696-'Market Data - EQ'!E697)/'Market Data - EQ'!E697,LN('Market Data - EQ'!E696/'Market Data - EQ'!E697)))</f>
        <v>1.5778941481810447E-2</v>
      </c>
      <c r="K696" s="3">
        <f>IF('Value at Risk'!$C$5=0,'Market Data - EQ'!F696-'Market Data - EQ'!F697,IF('Value at Risk'!$C$6=0,('Market Data - EQ'!F696-'Market Data - EQ'!F697)/'Market Data - EQ'!F697,LN('Market Data - EQ'!F696/'Market Data - EQ'!F697)))</f>
        <v>1.1210761807256222E-2</v>
      </c>
      <c r="L696" s="8">
        <f t="shared" si="10"/>
        <v>1.0144175738529479E-2</v>
      </c>
    </row>
    <row r="697" spans="1:12" x14ac:dyDescent="0.25">
      <c r="A697" s="5">
        <v>42797</v>
      </c>
      <c r="B697" s="4">
        <v>688.5</v>
      </c>
      <c r="C697" s="4">
        <v>265.04998799999998</v>
      </c>
      <c r="D697" s="4">
        <v>250.86399800000001</v>
      </c>
      <c r="E697" s="4">
        <v>1299.1999510000001</v>
      </c>
      <c r="F697" s="4">
        <v>512.90002400000003</v>
      </c>
      <c r="G697" s="3">
        <f>IF('Value at Risk'!$C$5=0,'Market Data - EQ'!B697-'Market Data - EQ'!B698,IF('Value at Risk'!$C$6=0,('Market Data - EQ'!B697-'Market Data - EQ'!B698)/'Market Data - EQ'!B698,LN('Market Data - EQ'!B697/'Market Data - EQ'!B698)))</f>
        <v>-2.2461966914779294E-3</v>
      </c>
      <c r="H697" s="3">
        <f>IF('Value at Risk'!$C$5=0,'Market Data - EQ'!C697-'Market Data - EQ'!C698,IF('Value at Risk'!$C$6=0,('Market Data - EQ'!C697-'Market Data - EQ'!C698)/'Market Data - EQ'!C698,LN('Market Data - EQ'!C697/'Market Data - EQ'!C698)))</f>
        <v>-8.4175087953988238E-3</v>
      </c>
      <c r="I697" s="3">
        <f>IF('Value at Risk'!$C$5=0,'Market Data - EQ'!D697-'Market Data - EQ'!D698,IF('Value at Risk'!$C$6=0,('Market Data - EQ'!D697-'Market Data - EQ'!D698)/'Market Data - EQ'!D698,LN('Market Data - EQ'!D697/'Market Data - EQ'!D698)))</f>
        <v>-9.6874089792744877E-3</v>
      </c>
      <c r="J697" s="3">
        <f>IF('Value at Risk'!$C$5=0,'Market Data - EQ'!E697-'Market Data - EQ'!E698,IF('Value at Risk'!$C$6=0,('Market Data - EQ'!E697-'Market Data - EQ'!E698)/'Market Data - EQ'!E698,LN('Market Data - EQ'!E697/'Market Data - EQ'!E698)))</f>
        <v>-5.5493897752842422E-3</v>
      </c>
      <c r="K697" s="3">
        <f>IF('Value at Risk'!$C$5=0,'Market Data - EQ'!F697-'Market Data - EQ'!F698,IF('Value at Risk'!$C$6=0,('Market Data - EQ'!F697-'Market Data - EQ'!F698)/'Market Data - EQ'!F698,LN('Market Data - EQ'!F697/'Market Data - EQ'!F698)))</f>
        <v>1.3035820968654745E-2</v>
      </c>
      <c r="L697" s="8">
        <f t="shared" si="10"/>
        <v>-2.5729366545561472E-3</v>
      </c>
    </row>
    <row r="698" spans="1:12" x14ac:dyDescent="0.25">
      <c r="A698" s="5">
        <v>42796</v>
      </c>
      <c r="B698" s="4">
        <v>690.04998799999998</v>
      </c>
      <c r="C698" s="4">
        <v>267.29998799999998</v>
      </c>
      <c r="D698" s="4">
        <v>253.317993</v>
      </c>
      <c r="E698" s="4">
        <v>1306.4499510000001</v>
      </c>
      <c r="F698" s="4">
        <v>506.29998799999998</v>
      </c>
      <c r="G698" s="3">
        <f>IF('Value at Risk'!$C$5=0,'Market Data - EQ'!B698-'Market Data - EQ'!B699,IF('Value at Risk'!$C$6=0,('Market Data - EQ'!B698-'Market Data - EQ'!B699)/'Market Data - EQ'!B699,LN('Market Data - EQ'!B698/'Market Data - EQ'!B699)))</f>
        <v>-8.2995349411211315E-3</v>
      </c>
      <c r="H698" s="3">
        <f>IF('Value at Risk'!$C$5=0,'Market Data - EQ'!C698-'Market Data - EQ'!C699,IF('Value at Risk'!$C$6=0,('Market Data - EQ'!C698-'Market Data - EQ'!C699)/'Market Data - EQ'!C699,LN('Market Data - EQ'!C698/'Market Data - EQ'!C699)))</f>
        <v>-1.6375389144434278E-2</v>
      </c>
      <c r="I698" s="3">
        <f>IF('Value at Risk'!$C$5=0,'Market Data - EQ'!D698-'Market Data - EQ'!D699,IF('Value at Risk'!$C$6=0,('Market Data - EQ'!D698-'Market Data - EQ'!D699)/'Market Data - EQ'!D699,LN('Market Data - EQ'!D698/'Market Data - EQ'!D699)))</f>
        <v>-1.6120160327434991E-3</v>
      </c>
      <c r="J698" s="3">
        <f>IF('Value at Risk'!$C$5=0,'Market Data - EQ'!E698-'Market Data - EQ'!E699,IF('Value at Risk'!$C$6=0,('Market Data - EQ'!E698-'Market Data - EQ'!E699)/'Market Data - EQ'!E699,LN('Market Data - EQ'!E698/'Market Data - EQ'!E699)))</f>
        <v>-1.4892173676456424E-2</v>
      </c>
      <c r="K698" s="3">
        <f>IF('Value at Risk'!$C$5=0,'Market Data - EQ'!F698-'Market Data - EQ'!F699,IF('Value at Risk'!$C$6=0,('Market Data - EQ'!F698-'Market Data - EQ'!F699)/'Market Data - EQ'!F699,LN('Market Data - EQ'!F698/'Market Data - EQ'!F699)))</f>
        <v>-1.3829442283002397E-2</v>
      </c>
      <c r="L698" s="8">
        <f t="shared" si="10"/>
        <v>-1.1001711215551546E-2</v>
      </c>
    </row>
    <row r="699" spans="1:12" x14ac:dyDescent="0.25">
      <c r="A699" s="5">
        <v>42795</v>
      </c>
      <c r="B699" s="4">
        <v>695.82501200000002</v>
      </c>
      <c r="C699" s="4">
        <v>271.75</v>
      </c>
      <c r="D699" s="4">
        <v>253.72700499999999</v>
      </c>
      <c r="E699" s="4">
        <v>1326.1999510000001</v>
      </c>
      <c r="F699" s="4">
        <v>513.40002400000003</v>
      </c>
      <c r="G699" s="3">
        <f>IF('Value at Risk'!$C$5=0,'Market Data - EQ'!B699-'Market Data - EQ'!B700,IF('Value at Risk'!$C$6=0,('Market Data - EQ'!B699-'Market Data - EQ'!B700)/'Market Data - EQ'!B700,LN('Market Data - EQ'!B699/'Market Data - EQ'!B700)))</f>
        <v>1.1150622449906875E-3</v>
      </c>
      <c r="H699" s="3">
        <f>IF('Value at Risk'!$C$5=0,'Market Data - EQ'!C699-'Market Data - EQ'!C700,IF('Value at Risk'!$C$6=0,('Market Data - EQ'!C699-'Market Data - EQ'!C700)/'Market Data - EQ'!C700,LN('Market Data - EQ'!C699/'Market Data - EQ'!C700)))</f>
        <v>9.4724661453580647E-3</v>
      </c>
      <c r="I699" s="3">
        <f>IF('Value at Risk'!$C$5=0,'Market Data - EQ'!D699-'Market Data - EQ'!D700,IF('Value at Risk'!$C$6=0,('Market Data - EQ'!D699-'Market Data - EQ'!D700)/'Market Data - EQ'!D700,LN('Market Data - EQ'!D699/'Market Data - EQ'!D700)))</f>
        <v>9.9511595101012332E-3</v>
      </c>
      <c r="J699" s="3">
        <f>IF('Value at Risk'!$C$5=0,'Market Data - EQ'!E699-'Market Data - EQ'!E700,IF('Value at Risk'!$C$6=0,('Market Data - EQ'!E699-'Market Data - EQ'!E700)/'Market Data - EQ'!E700,LN('Market Data - EQ'!E699/'Market Data - EQ'!E700)))</f>
        <v>1.0361096486870639E-2</v>
      </c>
      <c r="K699" s="3">
        <f>IF('Value at Risk'!$C$5=0,'Market Data - EQ'!F699-'Market Data - EQ'!F700,IF('Value at Risk'!$C$6=0,('Market Data - EQ'!F699-'Market Data - EQ'!F700)/'Market Data - EQ'!F700,LN('Market Data - EQ'!F699/'Market Data - EQ'!F700)))</f>
        <v>1.3322866041522222E-2</v>
      </c>
      <c r="L699" s="8">
        <f t="shared" si="10"/>
        <v>8.8445300857685708E-3</v>
      </c>
    </row>
    <row r="700" spans="1:12" x14ac:dyDescent="0.25">
      <c r="A700" s="5">
        <v>42794</v>
      </c>
      <c r="B700" s="4">
        <v>695.04998799999998</v>
      </c>
      <c r="C700" s="4">
        <v>269.20001200000002</v>
      </c>
      <c r="D700" s="4">
        <v>251.22700499999999</v>
      </c>
      <c r="E700" s="4">
        <v>1312.599976</v>
      </c>
      <c r="F700" s="4">
        <v>506.64999399999999</v>
      </c>
      <c r="G700" s="3">
        <f>IF('Value at Risk'!$C$5=0,'Market Data - EQ'!B700-'Market Data - EQ'!B701,IF('Value at Risk'!$C$6=0,('Market Data - EQ'!B700-'Market Data - EQ'!B701)/'Market Data - EQ'!B701,LN('Market Data - EQ'!B700/'Market Data - EQ'!B701)))</f>
        <v>-2.5114810995088594E-3</v>
      </c>
      <c r="H700" s="3">
        <f>IF('Value at Risk'!$C$5=0,'Market Data - EQ'!C700-'Market Data - EQ'!C701,IF('Value at Risk'!$C$6=0,('Market Data - EQ'!C700-'Market Data - EQ'!C701)/'Market Data - EQ'!C701,LN('Market Data - EQ'!C700/'Market Data - EQ'!C701)))</f>
        <v>3.5415172413793671E-3</v>
      </c>
      <c r="I700" s="3">
        <f>IF('Value at Risk'!$C$5=0,'Market Data - EQ'!D700-'Market Data - EQ'!D701,IF('Value at Risk'!$C$6=0,('Market Data - EQ'!D700-'Market Data - EQ'!D701)/'Market Data - EQ'!D701,LN('Market Data - EQ'!D700/'Market Data - EQ'!D701)))</f>
        <v>-8.9664497041420464E-3</v>
      </c>
      <c r="J700" s="3">
        <f>IF('Value at Risk'!$C$5=0,'Market Data - EQ'!E700-'Market Data - EQ'!E701,IF('Value at Risk'!$C$6=0,('Market Data - EQ'!E700-'Market Data - EQ'!E701)/'Market Data - EQ'!E701,LN('Market Data - EQ'!E700/'Market Data - EQ'!E701)))</f>
        <v>-5.0785058373025004E-3</v>
      </c>
      <c r="K700" s="3">
        <f>IF('Value at Risk'!$C$5=0,'Market Data - EQ'!F700-'Market Data - EQ'!F701,IF('Value at Risk'!$C$6=0,('Market Data - EQ'!F700-'Market Data - EQ'!F701)/'Market Data - EQ'!F701,LN('Market Data - EQ'!F700/'Market Data - EQ'!F701)))</f>
        <v>-4.5191432277636384E-3</v>
      </c>
      <c r="L700" s="8">
        <f t="shared" si="10"/>
        <v>-3.5068125254675356E-3</v>
      </c>
    </row>
    <row r="701" spans="1:12" x14ac:dyDescent="0.25">
      <c r="A701" s="5">
        <v>42793</v>
      </c>
      <c r="B701" s="4">
        <v>696.79998799999998</v>
      </c>
      <c r="C701" s="4">
        <v>268.25</v>
      </c>
      <c r="D701" s="4">
        <v>253.5</v>
      </c>
      <c r="E701" s="4">
        <v>1319.3000489999999</v>
      </c>
      <c r="F701" s="4">
        <v>508.95001200000002</v>
      </c>
      <c r="G701" s="3">
        <f>IF('Value at Risk'!$C$5=0,'Market Data - EQ'!B701-'Market Data - EQ'!B702,IF('Value at Risk'!$C$6=0,('Market Data - EQ'!B701-'Market Data - EQ'!B702)/'Market Data - EQ'!B702,LN('Market Data - EQ'!B701/'Market Data - EQ'!B702)))</f>
        <v>-5.0209565796421104E-4</v>
      </c>
      <c r="H701" s="3">
        <f>IF('Value at Risk'!$C$5=0,'Market Data - EQ'!C701-'Market Data - EQ'!C702,IF('Value at Risk'!$C$6=0,('Market Data - EQ'!C701-'Market Data - EQ'!C702)/'Market Data - EQ'!C702,LN('Market Data - EQ'!C701/'Market Data - EQ'!C702)))</f>
        <v>-8.1346345068752119E-3</v>
      </c>
      <c r="I701" s="3">
        <f>IF('Value at Risk'!$C$5=0,'Market Data - EQ'!D701-'Market Data - EQ'!D702,IF('Value at Risk'!$C$6=0,('Market Data - EQ'!D701-'Market Data - EQ'!D702)/'Market Data - EQ'!D702,LN('Market Data - EQ'!D701/'Market Data - EQ'!D702)))</f>
        <v>-1.9857971349740954E-2</v>
      </c>
      <c r="J701" s="3">
        <f>IF('Value at Risk'!$C$5=0,'Market Data - EQ'!E701-'Market Data - EQ'!E702,IF('Value at Risk'!$C$6=0,('Market Data - EQ'!E701-'Market Data - EQ'!E702)/'Market Data - EQ'!E702,LN('Market Data - EQ'!E701/'Market Data - EQ'!E702)))</f>
        <v>-1.5998471750885739E-2</v>
      </c>
      <c r="K701" s="3">
        <f>IF('Value at Risk'!$C$5=0,'Market Data - EQ'!F701-'Market Data - EQ'!F702,IF('Value at Risk'!$C$6=0,('Market Data - EQ'!F701-'Market Data - EQ'!F702)/'Market Data - EQ'!F702,LN('Market Data - EQ'!F701/'Market Data - EQ'!F702)))</f>
        <v>-3.635332978797709E-2</v>
      </c>
      <c r="L701" s="8">
        <f t="shared" si="10"/>
        <v>-1.6169300610688643E-2</v>
      </c>
    </row>
    <row r="702" spans="1:12" x14ac:dyDescent="0.25">
      <c r="A702" s="5">
        <v>42789</v>
      </c>
      <c r="B702" s="4">
        <v>697.15002400000003</v>
      </c>
      <c r="C702" s="4">
        <v>270.45001200000002</v>
      </c>
      <c r="D702" s="4">
        <v>258.635986</v>
      </c>
      <c r="E702" s="4">
        <v>1340.75</v>
      </c>
      <c r="F702" s="4">
        <v>528.15002400000003</v>
      </c>
      <c r="G702" s="3">
        <f>IF('Value at Risk'!$C$5=0,'Market Data - EQ'!B702-'Market Data - EQ'!B703,IF('Value at Risk'!$C$6=0,('Market Data - EQ'!B702-'Market Data - EQ'!B703)/'Market Data - EQ'!B703,LN('Market Data - EQ'!B702/'Market Data - EQ'!B703)))</f>
        <v>-3.4663730956702391E-3</v>
      </c>
      <c r="H702" s="3">
        <f>IF('Value at Risk'!$C$5=0,'Market Data - EQ'!C702-'Market Data - EQ'!C703,IF('Value at Risk'!$C$6=0,('Market Data - EQ'!C702-'Market Data - EQ'!C703)/'Market Data - EQ'!C703,LN('Market Data - EQ'!C702/'Market Data - EQ'!C703)))</f>
        <v>-6.793889392312312E-3</v>
      </c>
      <c r="I702" s="3">
        <f>IF('Value at Risk'!$C$5=0,'Market Data - EQ'!D702-'Market Data - EQ'!D703,IF('Value at Risk'!$C$6=0,('Market Data - EQ'!D702-'Market Data - EQ'!D703)/'Market Data - EQ'!D703,LN('Market Data - EQ'!D702/'Market Data - EQ'!D703)))</f>
        <v>-5.7662149057685543E-3</v>
      </c>
      <c r="J702" s="3">
        <f>IF('Value at Risk'!$C$5=0,'Market Data - EQ'!E702-'Market Data - EQ'!E703,IF('Value at Risk'!$C$6=0,('Market Data - EQ'!E702-'Market Data - EQ'!E703)/'Market Data - EQ'!E703,LN('Market Data - EQ'!E702/'Market Data - EQ'!E703)))</f>
        <v>1.0704421601510231E-2</v>
      </c>
      <c r="K702" s="3">
        <f>IF('Value at Risk'!$C$5=0,'Market Data - EQ'!F702-'Market Data - EQ'!F703,IF('Value at Risk'!$C$6=0,('Market Data - EQ'!F702-'Market Data - EQ'!F703)/'Market Data - EQ'!F703,LN('Market Data - EQ'!F702/'Market Data - EQ'!F703)))</f>
        <v>5.4255398155463987E-3</v>
      </c>
      <c r="L702" s="8">
        <f t="shared" si="10"/>
        <v>2.0696804661104844E-5</v>
      </c>
    </row>
    <row r="703" spans="1:12" x14ac:dyDescent="0.25">
      <c r="A703" s="5">
        <v>42788</v>
      </c>
      <c r="B703" s="4">
        <v>699.57501200000002</v>
      </c>
      <c r="C703" s="4">
        <v>272.29998799999998</v>
      </c>
      <c r="D703" s="4">
        <v>260.135986</v>
      </c>
      <c r="E703" s="4">
        <v>1326.5500489999999</v>
      </c>
      <c r="F703" s="4">
        <v>525.29998799999998</v>
      </c>
      <c r="G703" s="3">
        <f>IF('Value at Risk'!$C$5=0,'Market Data - EQ'!B703-'Market Data - EQ'!B704,IF('Value at Risk'!$C$6=0,('Market Data - EQ'!B703-'Market Data - EQ'!B704)/'Market Data - EQ'!B704,LN('Market Data - EQ'!B703/'Market Data - EQ'!B704)))</f>
        <v>-1.1585619330924588E-2</v>
      </c>
      <c r="H703" s="3">
        <f>IF('Value at Risk'!$C$5=0,'Market Data - EQ'!C703-'Market Data - EQ'!C704,IF('Value at Risk'!$C$6=0,('Market Data - EQ'!C703-'Market Data - EQ'!C704)/'Market Data - EQ'!C704,LN('Market Data - EQ'!C703/'Market Data - EQ'!C704)))</f>
        <v>5.9105132215508342E-3</v>
      </c>
      <c r="I703" s="3">
        <f>IF('Value at Risk'!$C$5=0,'Market Data - EQ'!D703-'Market Data - EQ'!D704,IF('Value at Risk'!$C$6=0,('Market Data - EQ'!D703-'Market Data - EQ'!D704)/'Market Data - EQ'!D704,LN('Market Data - EQ'!D703/'Market Data - EQ'!D704)))</f>
        <v>4.7390744014971535E-3</v>
      </c>
      <c r="J703" s="3">
        <f>IF('Value at Risk'!$C$5=0,'Market Data - EQ'!E703-'Market Data - EQ'!E704,IF('Value at Risk'!$C$6=0,('Market Data - EQ'!E703-'Market Data - EQ'!E704)/'Market Data - EQ'!E704,LN('Market Data - EQ'!E703/'Market Data - EQ'!E704)))</f>
        <v>-3.4930154530933505E-3</v>
      </c>
      <c r="K703" s="3">
        <f>IF('Value at Risk'!$C$5=0,'Market Data - EQ'!F703-'Market Data - EQ'!F704,IF('Value at Risk'!$C$6=0,('Market Data - EQ'!F703-'Market Data - EQ'!F704)/'Market Data - EQ'!F704,LN('Market Data - EQ'!F703/'Market Data - EQ'!F704)))</f>
        <v>4.153857787403293E-2</v>
      </c>
      <c r="L703" s="8">
        <f t="shared" si="10"/>
        <v>7.421906142612596E-3</v>
      </c>
    </row>
    <row r="704" spans="1:12" x14ac:dyDescent="0.25">
      <c r="A704" s="5">
        <v>42787</v>
      </c>
      <c r="B704" s="4">
        <v>707.77502400000003</v>
      </c>
      <c r="C704" s="4">
        <v>270.70001200000002</v>
      </c>
      <c r="D704" s="4">
        <v>258.908997</v>
      </c>
      <c r="E704" s="4">
        <v>1331.1999510000001</v>
      </c>
      <c r="F704" s="4">
        <v>504.35000600000001</v>
      </c>
      <c r="G704" s="3">
        <f>IF('Value at Risk'!$C$5=0,'Market Data - EQ'!B704-'Market Data - EQ'!B705,IF('Value at Risk'!$C$6=0,('Market Data - EQ'!B704-'Market Data - EQ'!B705)/'Market Data - EQ'!B705,LN('Market Data - EQ'!B704/'Market Data - EQ'!B705)))</f>
        <v>4.57744099769972E-3</v>
      </c>
      <c r="H704" s="3">
        <f>IF('Value at Risk'!$C$5=0,'Market Data - EQ'!C704-'Market Data - EQ'!C705,IF('Value at Risk'!$C$6=0,('Market Data - EQ'!C704-'Market Data - EQ'!C705)/'Market Data - EQ'!C705,LN('Market Data - EQ'!C704/'Market Data - EQ'!C705)))</f>
        <v>3.8940034243057421E-3</v>
      </c>
      <c r="I704" s="3">
        <f>IF('Value at Risk'!$C$5=0,'Market Data - EQ'!D704-'Market Data - EQ'!D705,IF('Value at Risk'!$C$6=0,('Market Data - EQ'!D704-'Market Data - EQ'!D705)/'Market Data - EQ'!D705,LN('Market Data - EQ'!D704/'Market Data - EQ'!D705)))</f>
        <v>8.6760658685359308E-3</v>
      </c>
      <c r="J704" s="3">
        <f>IF('Value at Risk'!$C$5=0,'Market Data - EQ'!E704-'Market Data - EQ'!E705,IF('Value at Risk'!$C$6=0,('Market Data - EQ'!E704-'Market Data - EQ'!E705)/'Market Data - EQ'!E705,LN('Market Data - EQ'!E704/'Market Data - EQ'!E705)))</f>
        <v>-3.9283177017378629E-3</v>
      </c>
      <c r="K704" s="3">
        <f>IF('Value at Risk'!$C$5=0,'Market Data - EQ'!F704-'Market Data - EQ'!F705,IF('Value at Risk'!$C$6=0,('Market Data - EQ'!F704-'Market Data - EQ'!F705)/'Market Data - EQ'!F705,LN('Market Data - EQ'!F704/'Market Data - EQ'!F705)))</f>
        <v>4.8435752169689324E-2</v>
      </c>
      <c r="L704" s="8">
        <f t="shared" si="10"/>
        <v>1.2330988951698572E-2</v>
      </c>
    </row>
    <row r="705" spans="1:12" x14ac:dyDescent="0.25">
      <c r="A705" s="5">
        <v>42786</v>
      </c>
      <c r="B705" s="4">
        <v>704.54998799999998</v>
      </c>
      <c r="C705" s="4">
        <v>269.64999399999999</v>
      </c>
      <c r="D705" s="4">
        <v>256.682007</v>
      </c>
      <c r="E705" s="4">
        <v>1336.4499510000001</v>
      </c>
      <c r="F705" s="4">
        <v>481.04998799999998</v>
      </c>
      <c r="G705" s="3">
        <f>IF('Value at Risk'!$C$5=0,'Market Data - EQ'!B705-'Market Data - EQ'!B706,IF('Value at Risk'!$C$6=0,('Market Data - EQ'!B705-'Market Data - EQ'!B706)/'Market Data - EQ'!B706,LN('Market Data - EQ'!B705/'Market Data - EQ'!B706)))</f>
        <v>2.3274337811140983E-2</v>
      </c>
      <c r="H705" s="3">
        <f>IF('Value at Risk'!$C$5=0,'Market Data - EQ'!C705-'Market Data - EQ'!C706,IF('Value at Risk'!$C$6=0,('Market Data - EQ'!C705-'Market Data - EQ'!C706)/'Market Data - EQ'!C706,LN('Market Data - EQ'!C705/'Market Data - EQ'!C706)))</f>
        <v>1.1137478868293949E-3</v>
      </c>
      <c r="I705" s="3">
        <f>IF('Value at Risk'!$C$5=0,'Market Data - EQ'!D705-'Market Data - EQ'!D706,IF('Value at Risk'!$C$6=0,('Market Data - EQ'!D705-'Market Data - EQ'!D706)/'Market Data - EQ'!D706,LN('Market Data - EQ'!D705/'Market Data - EQ'!D706)))</f>
        <v>-2.297182281188379E-3</v>
      </c>
      <c r="J705" s="3">
        <f>IF('Value at Risk'!$C$5=0,'Market Data - EQ'!E705-'Market Data - EQ'!E706,IF('Value at Risk'!$C$6=0,('Market Data - EQ'!E705-'Market Data - EQ'!E706)/'Market Data - EQ'!E706,LN('Market Data - EQ'!E705/'Market Data - EQ'!E706)))</f>
        <v>-1.195843160871099E-3</v>
      </c>
      <c r="K705" s="3">
        <f>IF('Value at Risk'!$C$5=0,'Market Data - EQ'!F705-'Market Data - EQ'!F706,IF('Value at Risk'!$C$6=0,('Market Data - EQ'!F705-'Market Data - EQ'!F706)/'Market Data - EQ'!F706,LN('Market Data - EQ'!F705/'Market Data - EQ'!F706)))</f>
        <v>-1.6458838481388249E-2</v>
      </c>
      <c r="L705" s="8">
        <f t="shared" si="10"/>
        <v>8.8724435490453028E-4</v>
      </c>
    </row>
    <row r="706" spans="1:12" x14ac:dyDescent="0.25">
      <c r="A706" s="5">
        <v>42783</v>
      </c>
      <c r="B706" s="4">
        <v>688.52502400000003</v>
      </c>
      <c r="C706" s="4">
        <v>269.35000600000001</v>
      </c>
      <c r="D706" s="4">
        <v>257.27301</v>
      </c>
      <c r="E706" s="4">
        <v>1338.0500489999999</v>
      </c>
      <c r="F706" s="4">
        <v>489.10000600000001</v>
      </c>
      <c r="G706" s="3">
        <f>IF('Value at Risk'!$C$5=0,'Market Data - EQ'!B706-'Market Data - EQ'!B707,IF('Value at Risk'!$C$6=0,('Market Data - EQ'!B706-'Market Data - EQ'!B707)/'Market Data - EQ'!B707,LN('Market Data - EQ'!B706/'Market Data - EQ'!B707)))</f>
        <v>3.7013346721650506E-2</v>
      </c>
      <c r="H706" s="3">
        <f>IF('Value at Risk'!$C$5=0,'Market Data - EQ'!C706-'Market Data - EQ'!C707,IF('Value at Risk'!$C$6=0,('Market Data - EQ'!C706-'Market Data - EQ'!C707)/'Market Data - EQ'!C707,LN('Market Data - EQ'!C706/'Market Data - EQ'!C707)))</f>
        <v>-4.2513641404805635E-3</v>
      </c>
      <c r="I706" s="3">
        <f>IF('Value at Risk'!$C$5=0,'Market Data - EQ'!D706-'Market Data - EQ'!D707,IF('Value at Risk'!$C$6=0,('Market Data - EQ'!D706-'Market Data - EQ'!D707)/'Market Data - EQ'!D707,LN('Market Data - EQ'!D706/'Market Data - EQ'!D707)))</f>
        <v>1.5063849479679994E-2</v>
      </c>
      <c r="J706" s="3">
        <f>IF('Value at Risk'!$C$5=0,'Market Data - EQ'!E706-'Market Data - EQ'!E707,IF('Value at Risk'!$C$6=0,('Market Data - EQ'!E706-'Market Data - EQ'!E707)/'Market Data - EQ'!E707,LN('Market Data - EQ'!E706/'Market Data - EQ'!E707)))</f>
        <v>1.4058392572944256E-2</v>
      </c>
      <c r="K706" s="3">
        <f>IF('Value at Risk'!$C$5=0,'Market Data - EQ'!F706-'Market Data - EQ'!F707,IF('Value at Risk'!$C$6=0,('Market Data - EQ'!F706-'Market Data - EQ'!F707)/'Market Data - EQ'!F707,LN('Market Data - EQ'!F706/'Market Data - EQ'!F707)))</f>
        <v>-8.2124871728174141E-3</v>
      </c>
      <c r="L706" s="8">
        <f t="shared" si="10"/>
        <v>1.0734347492195356E-2</v>
      </c>
    </row>
    <row r="707" spans="1:12" x14ac:dyDescent="0.25">
      <c r="A707" s="5">
        <v>42782</v>
      </c>
      <c r="B707" s="4">
        <v>663.95001200000002</v>
      </c>
      <c r="C707" s="4">
        <v>270.5</v>
      </c>
      <c r="D707" s="4">
        <v>253.45500200000001</v>
      </c>
      <c r="E707" s="4">
        <v>1319.5</v>
      </c>
      <c r="F707" s="4">
        <v>493.14999399999999</v>
      </c>
      <c r="G707" s="3">
        <f>IF('Value at Risk'!$C$5=0,'Market Data - EQ'!B707-'Market Data - EQ'!B708,IF('Value at Risk'!$C$6=0,('Market Data - EQ'!B707-'Market Data - EQ'!B708)/'Market Data - EQ'!B708,LN('Market Data - EQ'!B707/'Market Data - EQ'!B708)))</f>
        <v>4.3110514346774769E-3</v>
      </c>
      <c r="H707" s="3">
        <f>IF('Value at Risk'!$C$5=0,'Market Data - EQ'!C707-'Market Data - EQ'!C708,IF('Value at Risk'!$C$6=0,('Market Data - EQ'!C707-'Market Data - EQ'!C708)/'Market Data - EQ'!C708,LN('Market Data - EQ'!C707/'Market Data - EQ'!C708)))</f>
        <v>5.7631081273199006E-3</v>
      </c>
      <c r="I707" s="3">
        <f>IF('Value at Risk'!$C$5=0,'Market Data - EQ'!D707-'Market Data - EQ'!D708,IF('Value at Risk'!$C$6=0,('Market Data - EQ'!D707-'Market Data - EQ'!D708)/'Market Data - EQ'!D708,LN('Market Data - EQ'!D707/'Market Data - EQ'!D708)))</f>
        <v>-6.9428507379146022E-3</v>
      </c>
      <c r="J707" s="3">
        <f>IF('Value at Risk'!$C$5=0,'Market Data - EQ'!E707-'Market Data - EQ'!E708,IF('Value at Risk'!$C$6=0,('Market Data - EQ'!E707-'Market Data - EQ'!E708)/'Market Data - EQ'!E708,LN('Market Data - EQ'!E707/'Market Data - EQ'!E708)))</f>
        <v>2.3168742554041423E-3</v>
      </c>
      <c r="K707" s="3">
        <f>IF('Value at Risk'!$C$5=0,'Market Data - EQ'!F707-'Market Data - EQ'!F708,IF('Value at Risk'!$C$6=0,('Market Data - EQ'!F707-'Market Data - EQ'!F708)/'Market Data - EQ'!F708,LN('Market Data - EQ'!F707/'Market Data - EQ'!F708)))</f>
        <v>1.01392500580274E-2</v>
      </c>
      <c r="L707" s="8">
        <f t="shared" si="10"/>
        <v>3.1174866275028635E-3</v>
      </c>
    </row>
    <row r="708" spans="1:12" x14ac:dyDescent="0.25">
      <c r="A708" s="5">
        <v>42781</v>
      </c>
      <c r="B708" s="4">
        <v>661.09997599999997</v>
      </c>
      <c r="C708" s="4">
        <v>268.95001200000002</v>
      </c>
      <c r="D708" s="4">
        <v>255.22700499999999</v>
      </c>
      <c r="E708" s="4">
        <v>1316.4499510000001</v>
      </c>
      <c r="F708" s="4">
        <v>488.20001200000002</v>
      </c>
      <c r="G708" s="3">
        <f>IF('Value at Risk'!$C$5=0,'Market Data - EQ'!B708-'Market Data - EQ'!B709,IF('Value at Risk'!$C$6=0,('Market Data - EQ'!B708-'Market Data - EQ'!B709)/'Market Data - EQ'!B709,LN('Market Data - EQ'!B708/'Market Data - EQ'!B709)))</f>
        <v>8.4661552918829201E-3</v>
      </c>
      <c r="H708" s="3">
        <f>IF('Value at Risk'!$C$5=0,'Market Data - EQ'!C708-'Market Data - EQ'!C709,IF('Value at Risk'!$C$6=0,('Market Data - EQ'!C708-'Market Data - EQ'!C709)/'Market Data - EQ'!C709,LN('Market Data - EQ'!C708/'Market Data - EQ'!C709)))</f>
        <v>-4.6262026072744957E-3</v>
      </c>
      <c r="I708" s="3">
        <f>IF('Value at Risk'!$C$5=0,'Market Data - EQ'!D708-'Market Data - EQ'!D709,IF('Value at Risk'!$C$6=0,('Market Data - EQ'!D708-'Market Data - EQ'!D709)/'Market Data - EQ'!D709,LN('Market Data - EQ'!D708/'Market Data - EQ'!D709)))</f>
        <v>-1.37031485625182E-2</v>
      </c>
      <c r="J708" s="3">
        <f>IF('Value at Risk'!$C$5=0,'Market Data - EQ'!E708-'Market Data - EQ'!E709,IF('Value at Risk'!$C$6=0,('Market Data - EQ'!E708-'Market Data - EQ'!E709)/'Market Data - EQ'!E709,LN('Market Data - EQ'!E708/'Market Data - EQ'!E709)))</f>
        <v>-1.0485622931708526E-2</v>
      </c>
      <c r="K708" s="3">
        <f>IF('Value at Risk'!$C$5=0,'Market Data - EQ'!F708-'Market Data - EQ'!F709,IF('Value at Risk'!$C$6=0,('Market Data - EQ'!F708-'Market Data - EQ'!F709)/'Market Data - EQ'!F709,LN('Market Data - EQ'!F708/'Market Data - EQ'!F709)))</f>
        <v>2.6699897638528679E-3</v>
      </c>
      <c r="L708" s="8">
        <f t="shared" ref="L708:L738" si="11">AVERAGE(G708:K708)</f>
        <v>-3.5357658091530867E-3</v>
      </c>
    </row>
    <row r="709" spans="1:12" x14ac:dyDescent="0.25">
      <c r="A709" s="5">
        <v>42780</v>
      </c>
      <c r="B709" s="4">
        <v>655.54998799999998</v>
      </c>
      <c r="C709" s="4">
        <v>270.20001200000002</v>
      </c>
      <c r="D709" s="4">
        <v>258.77301</v>
      </c>
      <c r="E709" s="4">
        <v>1330.400024</v>
      </c>
      <c r="F709" s="4">
        <v>486.89999399999999</v>
      </c>
      <c r="G709" s="3">
        <f>IF('Value at Risk'!$C$5=0,'Market Data - EQ'!B709-'Market Data - EQ'!B710,IF('Value at Risk'!$C$6=0,('Market Data - EQ'!B709-'Market Data - EQ'!B710)/'Market Data - EQ'!B710,LN('Market Data - EQ'!B709/'Market Data - EQ'!B710)))</f>
        <v>6.8693637076246085E-4</v>
      </c>
      <c r="H709" s="3">
        <f>IF('Value at Risk'!$C$5=0,'Market Data - EQ'!C709-'Market Data - EQ'!C710,IF('Value at Risk'!$C$6=0,('Market Data - EQ'!C709-'Market Data - EQ'!C710)/'Market Data - EQ'!C710,LN('Market Data - EQ'!C709/'Market Data - EQ'!C710)))</f>
        <v>-5.3376846384173941E-3</v>
      </c>
      <c r="I709" s="3">
        <f>IF('Value at Risk'!$C$5=0,'Market Data - EQ'!D709-'Market Data - EQ'!D710,IF('Value at Risk'!$C$6=0,('Market Data - EQ'!D709-'Market Data - EQ'!D710)/'Market Data - EQ'!D710,LN('Market Data - EQ'!D709/'Market Data - EQ'!D710)))</f>
        <v>1.0654364902627556E-2</v>
      </c>
      <c r="J709" s="3">
        <f>IF('Value at Risk'!$C$5=0,'Market Data - EQ'!E709-'Market Data - EQ'!E710,IF('Value at Risk'!$C$6=0,('Market Data - EQ'!E709-'Market Data - EQ'!E710)/'Market Data - EQ'!E710,LN('Market Data - EQ'!E709/'Market Data - EQ'!E710)))</f>
        <v>-6.9047884404770483E-3</v>
      </c>
      <c r="K709" s="3">
        <f>IF('Value at Risk'!$C$5=0,'Market Data - EQ'!F709-'Market Data - EQ'!F710,IF('Value at Risk'!$C$6=0,('Market Data - EQ'!F709-'Market Data - EQ'!F710)/'Market Data - EQ'!F710,LN('Market Data - EQ'!F709/'Market Data - EQ'!F710)))</f>
        <v>-6.9345178119808405E-3</v>
      </c>
      <c r="L709" s="8">
        <f t="shared" si="11"/>
        <v>-1.5671379234970535E-3</v>
      </c>
    </row>
    <row r="710" spans="1:12" x14ac:dyDescent="0.25">
      <c r="A710" s="5">
        <v>42779</v>
      </c>
      <c r="B710" s="4">
        <v>655.09997599999997</v>
      </c>
      <c r="C710" s="4">
        <v>271.64999399999999</v>
      </c>
      <c r="D710" s="4">
        <v>256.04501299999998</v>
      </c>
      <c r="E710" s="4">
        <v>1339.650024</v>
      </c>
      <c r="F710" s="4">
        <v>490.29998799999998</v>
      </c>
      <c r="G710" s="3">
        <f>IF('Value at Risk'!$C$5=0,'Market Data - EQ'!B710-'Market Data - EQ'!B711,IF('Value at Risk'!$C$6=0,('Market Data - EQ'!B710-'Market Data - EQ'!B711)/'Market Data - EQ'!B711,LN('Market Data - EQ'!B710/'Market Data - EQ'!B711)))</f>
        <v>5.0628844135541546E-3</v>
      </c>
      <c r="H710" s="3">
        <f>IF('Value at Risk'!$C$5=0,'Market Data - EQ'!C710-'Market Data - EQ'!C711,IF('Value at Risk'!$C$6=0,('Market Data - EQ'!C710-'Market Data - EQ'!C711)/'Market Data - EQ'!C711,LN('Market Data - EQ'!C710/'Market Data - EQ'!C711)))</f>
        <v>-1.7007461183120132E-2</v>
      </c>
      <c r="I710" s="3">
        <f>IF('Value at Risk'!$C$5=0,'Market Data - EQ'!D710-'Market Data - EQ'!D711,IF('Value at Risk'!$C$6=0,('Market Data - EQ'!D710-'Market Data - EQ'!D711)/'Market Data - EQ'!D711,LN('Market Data - EQ'!D710/'Market Data - EQ'!D711)))</f>
        <v>1.7583203124993396E-4</v>
      </c>
      <c r="J710" s="3">
        <f>IF('Value at Risk'!$C$5=0,'Market Data - EQ'!E710-'Market Data - EQ'!E711,IF('Value at Risk'!$C$6=0,('Market Data - EQ'!E710-'Market Data - EQ'!E711)/'Market Data - EQ'!E711,LN('Market Data - EQ'!E710/'Market Data - EQ'!E711)))</f>
        <v>1.2967882041587924E-2</v>
      </c>
      <c r="K710" s="3">
        <f>IF('Value at Risk'!$C$5=0,'Market Data - EQ'!F710-'Market Data - EQ'!F711,IF('Value at Risk'!$C$6=0,('Market Data - EQ'!F710-'Market Data - EQ'!F711)/'Market Data - EQ'!F711,LN('Market Data - EQ'!F710/'Market Data - EQ'!F711)))</f>
        <v>2.8635590451653644E-3</v>
      </c>
      <c r="L710" s="8">
        <f t="shared" si="11"/>
        <v>8.1253926968744906E-4</v>
      </c>
    </row>
    <row r="711" spans="1:12" x14ac:dyDescent="0.25">
      <c r="A711" s="5">
        <v>42776</v>
      </c>
      <c r="B711" s="4">
        <v>651.79998799999998</v>
      </c>
      <c r="C711" s="4">
        <v>276.35000600000001</v>
      </c>
      <c r="D711" s="4">
        <v>256</v>
      </c>
      <c r="E711" s="4">
        <v>1322.5</v>
      </c>
      <c r="F711" s="4">
        <v>488.89999399999999</v>
      </c>
      <c r="G711" s="3">
        <f>IF('Value at Risk'!$C$5=0,'Market Data - EQ'!B711-'Market Data - EQ'!B712,IF('Value at Risk'!$C$6=0,('Market Data - EQ'!B711-'Market Data - EQ'!B712)/'Market Data - EQ'!B712,LN('Market Data - EQ'!B711/'Market Data - EQ'!B712)))</f>
        <v>4.5851746541484585E-3</v>
      </c>
      <c r="H711" s="3">
        <f>IF('Value at Risk'!$C$5=0,'Market Data - EQ'!C711-'Market Data - EQ'!C712,IF('Value at Risk'!$C$6=0,('Market Data - EQ'!C711-'Market Data - EQ'!C712)/'Market Data - EQ'!C712,LN('Market Data - EQ'!C711/'Market Data - EQ'!C712)))</f>
        <v>1.8125792609190662E-3</v>
      </c>
      <c r="I711" s="3">
        <f>IF('Value at Risk'!$C$5=0,'Market Data - EQ'!D711-'Market Data - EQ'!D712,IF('Value at Risk'!$C$6=0,('Market Data - EQ'!D711-'Market Data - EQ'!D712)/'Market Data - EQ'!D712,LN('Market Data - EQ'!D711/'Market Data - EQ'!D712)))</f>
        <v>-1.1930182693375889E-2</v>
      </c>
      <c r="J711" s="3">
        <f>IF('Value at Risk'!$C$5=0,'Market Data - EQ'!E711-'Market Data - EQ'!E712,IF('Value at Risk'!$C$6=0,('Market Data - EQ'!E711-'Market Data - EQ'!E712)/'Market Data - EQ'!E712,LN('Market Data - EQ'!E711/'Market Data - EQ'!E712)))</f>
        <v>1.4187116564417178E-2</v>
      </c>
      <c r="K711" s="3">
        <f>IF('Value at Risk'!$C$5=0,'Market Data - EQ'!F711-'Market Data - EQ'!F712,IF('Value at Risk'!$C$6=0,('Market Data - EQ'!F711-'Market Data - EQ'!F712)/'Market Data - EQ'!F712,LN('Market Data - EQ'!F711/'Market Data - EQ'!F712)))</f>
        <v>7.5218835651725754E-3</v>
      </c>
      <c r="L711" s="8">
        <f t="shared" si="11"/>
        <v>3.2353142702562774E-3</v>
      </c>
    </row>
    <row r="712" spans="1:12" x14ac:dyDescent="0.25">
      <c r="A712" s="5">
        <v>42775</v>
      </c>
      <c r="B712" s="4">
        <v>648.82501200000002</v>
      </c>
      <c r="C712" s="4">
        <v>275.85000600000001</v>
      </c>
      <c r="D712" s="4">
        <v>259.091003</v>
      </c>
      <c r="E712" s="4">
        <v>1304</v>
      </c>
      <c r="F712" s="4">
        <v>485.25</v>
      </c>
      <c r="G712" s="3">
        <f>IF('Value at Risk'!$C$5=0,'Market Data - EQ'!B712-'Market Data - EQ'!B713,IF('Value at Risk'!$C$6=0,('Market Data - EQ'!B712-'Market Data - EQ'!B713)/'Market Data - EQ'!B713,LN('Market Data - EQ'!B712/'Market Data - EQ'!B713)))</f>
        <v>-6.1272162164031788E-3</v>
      </c>
      <c r="H712" s="3">
        <f>IF('Value at Risk'!$C$5=0,'Market Data - EQ'!C712-'Market Data - EQ'!C713,IF('Value at Risk'!$C$6=0,('Market Data - EQ'!C712-'Market Data - EQ'!C713)/'Market Data - EQ'!C713,LN('Market Data - EQ'!C712/'Market Data - EQ'!C713)))</f>
        <v>-4.8701513043224818E-3</v>
      </c>
      <c r="I712" s="3">
        <f>IF('Value at Risk'!$C$5=0,'Market Data - EQ'!D712-'Market Data - EQ'!D713,IF('Value at Risk'!$C$6=0,('Market Data - EQ'!D712-'Market Data - EQ'!D713)/'Market Data - EQ'!D713,LN('Market Data - EQ'!D712/'Market Data - EQ'!D713)))</f>
        <v>-2.7980741118264303E-3</v>
      </c>
      <c r="J712" s="3">
        <f>IF('Value at Risk'!$C$5=0,'Market Data - EQ'!E712-'Market Data - EQ'!E713,IF('Value at Risk'!$C$6=0,('Market Data - EQ'!E712-'Market Data - EQ'!E713)/'Market Data - EQ'!E713,LN('Market Data - EQ'!E712/'Market Data - EQ'!E713)))</f>
        <v>-1.1559598256585181E-2</v>
      </c>
      <c r="K712" s="3">
        <f>IF('Value at Risk'!$C$5=0,'Market Data - EQ'!F712-'Market Data - EQ'!F713,IF('Value at Risk'!$C$6=0,('Market Data - EQ'!F712-'Market Data - EQ'!F713)/'Market Data - EQ'!F713,LN('Market Data - EQ'!F712/'Market Data - EQ'!F713)))</f>
        <v>-4.8195364460270488E-3</v>
      </c>
      <c r="L712" s="8">
        <f t="shared" si="11"/>
        <v>-6.0349152670328646E-3</v>
      </c>
    </row>
    <row r="713" spans="1:12" x14ac:dyDescent="0.25">
      <c r="A713" s="5">
        <v>42774</v>
      </c>
      <c r="B713" s="4">
        <v>652.82501200000002</v>
      </c>
      <c r="C713" s="4">
        <v>277.20001200000002</v>
      </c>
      <c r="D713" s="4">
        <v>259.817993</v>
      </c>
      <c r="E713" s="4">
        <v>1319.25</v>
      </c>
      <c r="F713" s="4">
        <v>487.60000600000001</v>
      </c>
      <c r="G713" s="3">
        <f>IF('Value at Risk'!$C$5=0,'Market Data - EQ'!B713-'Market Data - EQ'!B714,IF('Value at Risk'!$C$6=0,('Market Data - EQ'!B713-'Market Data - EQ'!B714)/'Market Data - EQ'!B714,LN('Market Data - EQ'!B713/'Market Data - EQ'!B714)))</f>
        <v>-1.1475346918556916E-3</v>
      </c>
      <c r="H713" s="3">
        <f>IF('Value at Risk'!$C$5=0,'Market Data - EQ'!C713-'Market Data - EQ'!C714,IF('Value at Risk'!$C$6=0,('Market Data - EQ'!C713-'Market Data - EQ'!C714)/'Market Data - EQ'!C714,LN('Market Data - EQ'!C713/'Market Data - EQ'!C714)))</f>
        <v>-2.5188269705395433E-3</v>
      </c>
      <c r="I713" s="3">
        <f>IF('Value at Risk'!$C$5=0,'Market Data - EQ'!D713-'Market Data - EQ'!D714,IF('Value at Risk'!$C$6=0,('Market Data - EQ'!D713-'Market Data - EQ'!D714)/'Market Data - EQ'!D714,LN('Market Data - EQ'!D713/'Market Data - EQ'!D714)))</f>
        <v>-7.983704355142859E-3</v>
      </c>
      <c r="J713" s="3">
        <f>IF('Value at Risk'!$C$5=0,'Market Data - EQ'!E713-'Market Data - EQ'!E714,IF('Value at Risk'!$C$6=0,('Market Data - EQ'!E713-'Market Data - EQ'!E714)/'Market Data - EQ'!E714,LN('Market Data - EQ'!E713/'Market Data - EQ'!E714)))</f>
        <v>-3.7757221068529358E-3</v>
      </c>
      <c r="K713" s="3">
        <f>IF('Value at Risk'!$C$5=0,'Market Data - EQ'!F713-'Market Data - EQ'!F714,IF('Value at Risk'!$C$6=0,('Market Data - EQ'!F713-'Market Data - EQ'!F714)/'Market Data - EQ'!F714,LN('Market Data - EQ'!F713/'Market Data - EQ'!F714)))</f>
        <v>-1.1755144042421664E-2</v>
      </c>
      <c r="L713" s="8">
        <f t="shared" si="11"/>
        <v>-5.4361864333625385E-3</v>
      </c>
    </row>
    <row r="714" spans="1:12" x14ac:dyDescent="0.25">
      <c r="A714" s="5">
        <v>42773</v>
      </c>
      <c r="B714" s="4">
        <v>653.57501200000002</v>
      </c>
      <c r="C714" s="4">
        <v>277.89999399999999</v>
      </c>
      <c r="D714" s="4">
        <v>261.908997</v>
      </c>
      <c r="E714" s="4">
        <v>1324.25</v>
      </c>
      <c r="F714" s="4">
        <v>493.39999399999999</v>
      </c>
      <c r="G714" s="3">
        <f>IF('Value at Risk'!$C$5=0,'Market Data - EQ'!B714-'Market Data - EQ'!B715,IF('Value at Risk'!$C$6=0,('Market Data - EQ'!B714-'Market Data - EQ'!B715)/'Market Data - EQ'!B715,LN('Market Data - EQ'!B714/'Market Data - EQ'!B715)))</f>
        <v>-5.2887543770870132E-3</v>
      </c>
      <c r="H714" s="3">
        <f>IF('Value at Risk'!$C$5=0,'Market Data - EQ'!C714-'Market Data - EQ'!C715,IF('Value at Risk'!$C$6=0,('Market Data - EQ'!C714-'Market Data - EQ'!C715)/'Market Data - EQ'!C715,LN('Market Data - EQ'!C714/'Market Data - EQ'!C715)))</f>
        <v>3.0680600498708835E-3</v>
      </c>
      <c r="I714" s="3">
        <f>IF('Value at Risk'!$C$5=0,'Market Data - EQ'!D714-'Market Data - EQ'!D715,IF('Value at Risk'!$C$6=0,('Market Data - EQ'!D714-'Market Data - EQ'!D715)/'Market Data - EQ'!D715,LN('Market Data - EQ'!D714/'Market Data - EQ'!D715)))</f>
        <v>-7.5783699030162284E-3</v>
      </c>
      <c r="J714" s="3">
        <f>IF('Value at Risk'!$C$5=0,'Market Data - EQ'!E714-'Market Data - EQ'!E715,IF('Value at Risk'!$C$6=0,('Market Data - EQ'!E714-'Market Data - EQ'!E715)/'Market Data - EQ'!E715,LN('Market Data - EQ'!E714/'Market Data - EQ'!E715)))</f>
        <v>5.4667254334539381E-3</v>
      </c>
      <c r="K714" s="3">
        <f>IF('Value at Risk'!$C$5=0,'Market Data - EQ'!F714-'Market Data - EQ'!F715,IF('Value at Risk'!$C$6=0,('Market Data - EQ'!F714-'Market Data - EQ'!F715)/'Market Data - EQ'!F715,LN('Market Data - EQ'!F714/'Market Data - EQ'!F715)))</f>
        <v>-9.8334218703613387E-3</v>
      </c>
      <c r="L714" s="8">
        <f t="shared" si="11"/>
        <v>-2.8331521334279517E-3</v>
      </c>
    </row>
    <row r="715" spans="1:12" x14ac:dyDescent="0.25">
      <c r="A715" s="5">
        <v>42772</v>
      </c>
      <c r="B715" s="4">
        <v>657.04998799999998</v>
      </c>
      <c r="C715" s="4">
        <v>277.04998799999998</v>
      </c>
      <c r="D715" s="4">
        <v>263.908997</v>
      </c>
      <c r="E715" s="4">
        <v>1317.0500489999999</v>
      </c>
      <c r="F715" s="4">
        <v>498.29998799999998</v>
      </c>
      <c r="G715" s="3">
        <f>IF('Value at Risk'!$C$5=0,'Market Data - EQ'!B715-'Market Data - EQ'!B716,IF('Value at Risk'!$C$6=0,('Market Data - EQ'!B715-'Market Data - EQ'!B716)/'Market Data - EQ'!B716,LN('Market Data - EQ'!B715/'Market Data - EQ'!B716)))</f>
        <v>2.3263246164038956E-3</v>
      </c>
      <c r="H715" s="3">
        <f>IF('Value at Risk'!$C$5=0,'Market Data - EQ'!C715-'Market Data - EQ'!C716,IF('Value at Risk'!$C$6=0,('Market Data - EQ'!C715-'Market Data - EQ'!C716)/'Market Data - EQ'!C716,LN('Market Data - EQ'!C715/'Market Data - EQ'!C716)))</f>
        <v>-1.8014772892009639E-3</v>
      </c>
      <c r="I715" s="3">
        <f>IF('Value at Risk'!$C$5=0,'Market Data - EQ'!D715-'Market Data - EQ'!D716,IF('Value at Risk'!$C$6=0,('Market Data - EQ'!D715-'Market Data - EQ'!D716)/'Market Data - EQ'!D716,LN('Market Data - EQ'!D715/'Market Data - EQ'!D716)))</f>
        <v>3.1075755261075116E-2</v>
      </c>
      <c r="J715" s="3">
        <f>IF('Value at Risk'!$C$5=0,'Market Data - EQ'!E715-'Market Data - EQ'!E716,IF('Value at Risk'!$C$6=0,('Market Data - EQ'!E715-'Market Data - EQ'!E716)/'Market Data - EQ'!E716,LN('Market Data - EQ'!E715/'Market Data - EQ'!E716)))</f>
        <v>1.06277612958565E-2</v>
      </c>
      <c r="K715" s="3">
        <f>IF('Value at Risk'!$C$5=0,'Market Data - EQ'!F715-'Market Data - EQ'!F716,IF('Value at Risk'!$C$6=0,('Market Data - EQ'!F715-'Market Data - EQ'!F716)/'Market Data - EQ'!F716,LN('Market Data - EQ'!F715/'Market Data - EQ'!F716)))</f>
        <v>1.5488028967074836E-2</v>
      </c>
      <c r="L715" s="8">
        <f t="shared" si="11"/>
        <v>1.1543278570241877E-2</v>
      </c>
    </row>
    <row r="716" spans="1:12" x14ac:dyDescent="0.25">
      <c r="A716" s="5">
        <v>42769</v>
      </c>
      <c r="B716" s="4">
        <v>655.52502400000003</v>
      </c>
      <c r="C716" s="4">
        <v>277.54998799999998</v>
      </c>
      <c r="D716" s="4">
        <v>255.95500200000001</v>
      </c>
      <c r="E716" s="4">
        <v>1303.1999510000001</v>
      </c>
      <c r="F716" s="4">
        <v>490.70001200000002</v>
      </c>
      <c r="G716" s="3">
        <f>IF('Value at Risk'!$C$5=0,'Market Data - EQ'!B716-'Market Data - EQ'!B717,IF('Value at Risk'!$C$6=0,('Market Data - EQ'!B716-'Market Data - EQ'!B717)/'Market Data - EQ'!B717,LN('Market Data - EQ'!B716/'Market Data - EQ'!B717)))</f>
        <v>9.5095837810580917E-3</v>
      </c>
      <c r="H716" s="3">
        <f>IF('Value at Risk'!$C$5=0,'Market Data - EQ'!C716-'Market Data - EQ'!C717,IF('Value at Risk'!$C$6=0,('Market Data - EQ'!C716-'Market Data - EQ'!C717)/'Market Data - EQ'!C717,LN('Market Data - EQ'!C716/'Market Data - EQ'!C717)))</f>
        <v>1.5550677594614457E-2</v>
      </c>
      <c r="I716" s="3">
        <f>IF('Value at Risk'!$C$5=0,'Market Data - EQ'!D716-'Market Data - EQ'!D717,IF('Value at Risk'!$C$6=0,('Market Data - EQ'!D716-'Market Data - EQ'!D717)/'Market Data - EQ'!D717,LN('Market Data - EQ'!D716/'Market Data - EQ'!D717)))</f>
        <v>-1.4868065738618779E-2</v>
      </c>
      <c r="J716" s="3">
        <f>IF('Value at Risk'!$C$5=0,'Market Data - EQ'!E716-'Market Data - EQ'!E717,IF('Value at Risk'!$C$6=0,('Market Data - EQ'!E716-'Market Data - EQ'!E717)/'Market Data - EQ'!E717,LN('Market Data - EQ'!E716/'Market Data - EQ'!E717)))</f>
        <v>1.4953232866043657E-2</v>
      </c>
      <c r="K716" s="3">
        <f>IF('Value at Risk'!$C$5=0,'Market Data - EQ'!F716-'Market Data - EQ'!F717,IF('Value at Risk'!$C$6=0,('Market Data - EQ'!F716-'Market Data - EQ'!F717)/'Market Data - EQ'!F717,LN('Market Data - EQ'!F716/'Market Data - EQ'!F717)))</f>
        <v>1.6889491664436703E-2</v>
      </c>
      <c r="L716" s="8">
        <f t="shared" si="11"/>
        <v>8.4069840335068251E-3</v>
      </c>
    </row>
    <row r="717" spans="1:12" x14ac:dyDescent="0.25">
      <c r="A717" s="5">
        <v>42768</v>
      </c>
      <c r="B717" s="4">
        <v>649.34997599999997</v>
      </c>
      <c r="C717" s="4">
        <v>273.29998799999998</v>
      </c>
      <c r="D717" s="4">
        <v>259.817993</v>
      </c>
      <c r="E717" s="4">
        <v>1284</v>
      </c>
      <c r="F717" s="4">
        <v>482.54998799999998</v>
      </c>
      <c r="G717" s="3">
        <f>IF('Value at Risk'!$C$5=0,'Market Data - EQ'!B717-'Market Data - EQ'!B718,IF('Value at Risk'!$C$6=0,('Market Data - EQ'!B717-'Market Data - EQ'!B718)/'Market Data - EQ'!B718,LN('Market Data - EQ'!B717/'Market Data - EQ'!B718)))</f>
        <v>-5.361109180771418E-3</v>
      </c>
      <c r="H717" s="3">
        <f>IF('Value at Risk'!$C$5=0,'Market Data - EQ'!C717-'Market Data - EQ'!C718,IF('Value at Risk'!$C$6=0,('Market Data - EQ'!C717-'Market Data - EQ'!C718)/'Market Data - EQ'!C718,LN('Market Data - EQ'!C717/'Market Data - EQ'!C718)))</f>
        <v>9.6046393969128063E-3</v>
      </c>
      <c r="I717" s="3">
        <f>IF('Value at Risk'!$C$5=0,'Market Data - EQ'!D717-'Market Data - EQ'!D718,IF('Value at Risk'!$C$6=0,('Market Data - EQ'!D717-'Market Data - EQ'!D718)/'Market Data - EQ'!D718,LN('Market Data - EQ'!D717/'Market Data - EQ'!D718)))</f>
        <v>1.7079293675369072E-2</v>
      </c>
      <c r="J717" s="3">
        <f>IF('Value at Risk'!$C$5=0,'Market Data - EQ'!E717-'Market Data - EQ'!E718,IF('Value at Risk'!$C$6=0,('Market Data - EQ'!E717-'Market Data - EQ'!E718)/'Market Data - EQ'!E718,LN('Market Data - EQ'!E717/'Market Data - EQ'!E718)))</f>
        <v>-1.8160963486904991E-2</v>
      </c>
      <c r="K717" s="3">
        <f>IF('Value at Risk'!$C$5=0,'Market Data - EQ'!F717-'Market Data - EQ'!F718,IF('Value at Risk'!$C$6=0,('Market Data - EQ'!F717-'Market Data - EQ'!F718)/'Market Data - EQ'!F718,LN('Market Data - EQ'!F717/'Market Data - EQ'!F718)))</f>
        <v>1.4506452406262393E-2</v>
      </c>
      <c r="L717" s="8">
        <f t="shared" si="11"/>
        <v>3.5336625621735728E-3</v>
      </c>
    </row>
    <row r="718" spans="1:12" x14ac:dyDescent="0.25">
      <c r="A718" s="5">
        <v>42767</v>
      </c>
      <c r="B718" s="4">
        <v>652.84997599999997</v>
      </c>
      <c r="C718" s="4">
        <v>270.70001200000002</v>
      </c>
      <c r="D718" s="4">
        <v>255.45500200000001</v>
      </c>
      <c r="E718" s="4">
        <v>1307.75</v>
      </c>
      <c r="F718" s="4">
        <v>475.64999399999999</v>
      </c>
      <c r="G718" s="3">
        <f>IF('Value at Risk'!$C$5=0,'Market Data - EQ'!B718-'Market Data - EQ'!B719,IF('Value at Risk'!$C$6=0,('Market Data - EQ'!B718-'Market Data - EQ'!B719)/'Market Data - EQ'!B719,LN('Market Data - EQ'!B718/'Market Data - EQ'!B719)))</f>
        <v>1.4805835032572857E-2</v>
      </c>
      <c r="H718" s="3">
        <f>IF('Value at Risk'!$C$5=0,'Market Data - EQ'!C718-'Market Data - EQ'!C719,IF('Value at Risk'!$C$6=0,('Market Data - EQ'!C718-'Market Data - EQ'!C719)/'Market Data - EQ'!C719,LN('Market Data - EQ'!C718/'Market Data - EQ'!C719)))</f>
        <v>3.9754199199058239E-2</v>
      </c>
      <c r="I718" s="3">
        <f>IF('Value at Risk'!$C$5=0,'Market Data - EQ'!D718-'Market Data - EQ'!D719,IF('Value at Risk'!$C$6=0,('Market Data - EQ'!D718-'Market Data - EQ'!D719)/'Market Data - EQ'!D719,LN('Market Data - EQ'!D718/'Market Data - EQ'!D719)))</f>
        <v>4.4805734151329275E-2</v>
      </c>
      <c r="J718" s="3">
        <f>IF('Value at Risk'!$C$5=0,'Market Data - EQ'!E718-'Market Data - EQ'!E719,IF('Value at Risk'!$C$6=0,('Market Data - EQ'!E718-'Market Data - EQ'!E719)/'Market Data - EQ'!E719,LN('Market Data - EQ'!E718/'Market Data - EQ'!E719)))</f>
        <v>4.4487000375493822E-2</v>
      </c>
      <c r="K718" s="3">
        <f>IF('Value at Risk'!$C$5=0,'Market Data - EQ'!F718-'Market Data - EQ'!F719,IF('Value at Risk'!$C$6=0,('Market Data - EQ'!F718-'Market Data - EQ'!F719)/'Market Data - EQ'!F719,LN('Market Data - EQ'!F718/'Market Data - EQ'!F719)))</f>
        <v>2.0708141630901272E-2</v>
      </c>
      <c r="L718" s="8">
        <f t="shared" si="11"/>
        <v>3.2912182077871097E-2</v>
      </c>
    </row>
    <row r="719" spans="1:12" x14ac:dyDescent="0.25">
      <c r="A719" s="5">
        <v>42766</v>
      </c>
      <c r="B719" s="4">
        <v>643.32501200000002</v>
      </c>
      <c r="C719" s="4">
        <v>260.35000600000001</v>
      </c>
      <c r="D719" s="4">
        <v>244.5</v>
      </c>
      <c r="E719" s="4">
        <v>1252.0500489999999</v>
      </c>
      <c r="F719" s="4">
        <v>466</v>
      </c>
      <c r="G719" s="3">
        <f>IF('Value at Risk'!$C$5=0,'Market Data - EQ'!B719-'Market Data - EQ'!B720,IF('Value at Risk'!$C$6=0,('Market Data - EQ'!B719-'Market Data - EQ'!B720)/'Market Data - EQ'!B720,LN('Market Data - EQ'!B719/'Market Data - EQ'!B720)))</f>
        <v>1.3230647601130002E-3</v>
      </c>
      <c r="H719" s="3">
        <f>IF('Value at Risk'!$C$5=0,'Market Data - EQ'!C719-'Market Data - EQ'!C720,IF('Value at Risk'!$C$6=0,('Market Data - EQ'!C719-'Market Data - EQ'!C720)/'Market Data - EQ'!C720,LN('Market Data - EQ'!C719/'Market Data - EQ'!C720)))</f>
        <v>-1.3638968881729042E-2</v>
      </c>
      <c r="I719" s="3">
        <f>IF('Value at Risk'!$C$5=0,'Market Data - EQ'!D719-'Market Data - EQ'!D720,IF('Value at Risk'!$C$6=0,('Market Data - EQ'!D719-'Market Data - EQ'!D720)/'Market Data - EQ'!D720,LN('Market Data - EQ'!D719/'Market Data - EQ'!D720)))</f>
        <v>-6.8323717906808631E-3</v>
      </c>
      <c r="J719" s="3">
        <f>IF('Value at Risk'!$C$5=0,'Market Data - EQ'!E719-'Market Data - EQ'!E720,IF('Value at Risk'!$C$6=0,('Market Data - EQ'!E719-'Market Data - EQ'!E720)/'Market Data - EQ'!E720,LN('Market Data - EQ'!E719/'Market Data - EQ'!E720)))</f>
        <v>9.9621670469840079E-3</v>
      </c>
      <c r="K719" s="3">
        <f>IF('Value at Risk'!$C$5=0,'Market Data - EQ'!F719-'Market Data - EQ'!F720,IF('Value at Risk'!$C$6=0,('Market Data - EQ'!F719-'Market Data - EQ'!F720)/'Market Data - EQ'!F720,LN('Market Data - EQ'!F719/'Market Data - EQ'!F720)))</f>
        <v>-1.2502636310692542E-2</v>
      </c>
      <c r="L719" s="8">
        <f t="shared" si="11"/>
        <v>-4.3377490352010878E-3</v>
      </c>
    </row>
    <row r="720" spans="1:12" x14ac:dyDescent="0.25">
      <c r="A720" s="5">
        <v>42765</v>
      </c>
      <c r="B720" s="4">
        <v>642.47497599999997</v>
      </c>
      <c r="C720" s="4">
        <v>263.95001200000002</v>
      </c>
      <c r="D720" s="4">
        <v>246.182007</v>
      </c>
      <c r="E720" s="4">
        <v>1239.6999510000001</v>
      </c>
      <c r="F720" s="4">
        <v>471.89999399999999</v>
      </c>
      <c r="G720" s="3">
        <f>IF('Value at Risk'!$C$5=0,'Market Data - EQ'!B720-'Market Data - EQ'!B721,IF('Value at Risk'!$C$6=0,('Market Data - EQ'!B720-'Market Data - EQ'!B721)/'Market Data - EQ'!B721,LN('Market Data - EQ'!B720/'Market Data - EQ'!B721)))</f>
        <v>-5.3797289812575243E-3</v>
      </c>
      <c r="H720" s="3">
        <f>IF('Value at Risk'!$C$5=0,'Market Data - EQ'!C720-'Market Data - EQ'!C721,IF('Value at Risk'!$C$6=0,('Market Data - EQ'!C720-'Market Data - EQ'!C721)/'Market Data - EQ'!C721,LN('Market Data - EQ'!C720/'Market Data - EQ'!C721)))</f>
        <v>-9.3826229589361026E-3</v>
      </c>
      <c r="I720" s="3">
        <f>IF('Value at Risk'!$C$5=0,'Market Data - EQ'!D720-'Market Data - EQ'!D721,IF('Value at Risk'!$C$6=0,('Market Data - EQ'!D720-'Market Data - EQ'!D721)/'Market Data - EQ'!D721,LN('Market Data - EQ'!D720/'Market Data - EQ'!D721)))</f>
        <v>-4.412079046480632E-3</v>
      </c>
      <c r="J720" s="3">
        <f>IF('Value at Risk'!$C$5=0,'Market Data - EQ'!E720-'Market Data - EQ'!E721,IF('Value at Risk'!$C$6=0,('Market Data - EQ'!E720-'Market Data - EQ'!E721)/'Market Data - EQ'!E721,LN('Market Data - EQ'!E720/'Market Data - EQ'!E721)))</f>
        <v>-1.0890832777260861E-2</v>
      </c>
      <c r="K720" s="3">
        <f>IF('Value at Risk'!$C$5=0,'Market Data - EQ'!F720-'Market Data - EQ'!F721,IF('Value at Risk'!$C$6=0,('Market Data - EQ'!F720-'Market Data - EQ'!F721)/'Market Data - EQ'!F721,LN('Market Data - EQ'!F720/'Market Data - EQ'!F721)))</f>
        <v>-2.0091191454907481E-3</v>
      </c>
      <c r="L720" s="8">
        <f t="shared" si="11"/>
        <v>-6.4148765818851736E-3</v>
      </c>
    </row>
    <row r="721" spans="1:12" x14ac:dyDescent="0.25">
      <c r="A721" s="5">
        <v>42762</v>
      </c>
      <c r="B721" s="4">
        <v>645.95001200000002</v>
      </c>
      <c r="C721" s="4">
        <v>266.45001200000002</v>
      </c>
      <c r="D721" s="4">
        <v>247.27299500000001</v>
      </c>
      <c r="E721" s="4">
        <v>1253.349976</v>
      </c>
      <c r="F721" s="4">
        <v>472.85000600000001</v>
      </c>
      <c r="G721" s="3">
        <f>IF('Value at Risk'!$C$5=0,'Market Data - EQ'!B721-'Market Data - EQ'!B722,IF('Value at Risk'!$C$6=0,('Market Data - EQ'!B721-'Market Data - EQ'!B722)/'Market Data - EQ'!B722,LN('Market Data - EQ'!B721/'Market Data - EQ'!B722)))</f>
        <v>1.0073206447975796E-3</v>
      </c>
      <c r="H721" s="3">
        <f>IF('Value at Risk'!$C$5=0,'Market Data - EQ'!C721-'Market Data - EQ'!C722,IF('Value at Risk'!$C$6=0,('Market Data - EQ'!C721-'Market Data - EQ'!C722)/'Market Data - EQ'!C722,LN('Market Data - EQ'!C721/'Market Data - EQ'!C722)))</f>
        <v>2.7970677717406894E-2</v>
      </c>
      <c r="I721" s="3">
        <f>IF('Value at Risk'!$C$5=0,'Market Data - EQ'!D721-'Market Data - EQ'!D722,IF('Value at Risk'!$C$6=0,('Market Data - EQ'!D721-'Market Data - EQ'!D722)/'Market Data - EQ'!D722,LN('Market Data - EQ'!D721/'Market Data - EQ'!D722)))</f>
        <v>4.6357037231608542E-2</v>
      </c>
      <c r="J721" s="3">
        <f>IF('Value at Risk'!$C$5=0,'Market Data - EQ'!E721-'Market Data - EQ'!E722,IF('Value at Risk'!$C$6=0,('Market Data - EQ'!E721-'Market Data - EQ'!E722)/'Market Data - EQ'!E722,LN('Market Data - EQ'!E721/'Market Data - EQ'!E722)))</f>
        <v>-9.5227183273706509E-3</v>
      </c>
      <c r="K721" s="3">
        <f>IF('Value at Risk'!$C$5=0,'Market Data - EQ'!F721-'Market Data - EQ'!F722,IF('Value at Risk'!$C$6=0,('Market Data - EQ'!F721-'Market Data - EQ'!F722)/'Market Data - EQ'!F722,LN('Market Data - EQ'!F721/'Market Data - EQ'!F722)))</f>
        <v>2.0062600023193232E-2</v>
      </c>
      <c r="L721" s="8">
        <f t="shared" si="11"/>
        <v>1.7174983457927125E-2</v>
      </c>
    </row>
    <row r="722" spans="1:12" x14ac:dyDescent="0.25">
      <c r="A722" s="5">
        <v>42760</v>
      </c>
      <c r="B722" s="4">
        <v>645.29998799999998</v>
      </c>
      <c r="C722" s="4">
        <v>259.20001200000002</v>
      </c>
      <c r="D722" s="4">
        <v>236.317993</v>
      </c>
      <c r="E722" s="4">
        <v>1265.400024</v>
      </c>
      <c r="F722" s="4">
        <v>463.54998799999998</v>
      </c>
      <c r="G722" s="3">
        <f>IF('Value at Risk'!$C$5=0,'Market Data - EQ'!B722-'Market Data - EQ'!B723,IF('Value at Risk'!$C$6=0,('Market Data - EQ'!B722-'Market Data - EQ'!B723)/'Market Data - EQ'!B723,LN('Market Data - EQ'!B722/'Market Data - EQ'!B723)))</f>
        <v>1.8184629503481275E-2</v>
      </c>
      <c r="H722" s="3">
        <f>IF('Value at Risk'!$C$5=0,'Market Data - EQ'!C722-'Market Data - EQ'!C723,IF('Value at Risk'!$C$6=0,('Market Data - EQ'!C722-'Market Data - EQ'!C723)/'Market Data - EQ'!C723,LN('Market Data - EQ'!C722/'Market Data - EQ'!C723)))</f>
        <v>1.686943154655399E-2</v>
      </c>
      <c r="I722" s="3">
        <f>IF('Value at Risk'!$C$5=0,'Market Data - EQ'!D722-'Market Data - EQ'!D723,IF('Value at Risk'!$C$6=0,('Market Data - EQ'!D722-'Market Data - EQ'!D723)/'Market Data - EQ'!D723,LN('Market Data - EQ'!D722/'Market Data - EQ'!D723)))</f>
        <v>1.0886621014544441E-2</v>
      </c>
      <c r="J722" s="3">
        <f>IF('Value at Risk'!$C$5=0,'Market Data - EQ'!E722-'Market Data - EQ'!E723,IF('Value at Risk'!$C$6=0,('Market Data - EQ'!E722-'Market Data - EQ'!E723)/'Market Data - EQ'!E723,LN('Market Data - EQ'!E722/'Market Data - EQ'!E723)))</f>
        <v>1.1066257407018077E-2</v>
      </c>
      <c r="K722" s="3">
        <f>IF('Value at Risk'!$C$5=0,'Market Data - EQ'!F722-'Market Data - EQ'!F723,IF('Value at Risk'!$C$6=0,('Market Data - EQ'!F722-'Market Data - EQ'!F723)/'Market Data - EQ'!F723,LN('Market Data - EQ'!F722/'Market Data - EQ'!F723)))</f>
        <v>2.725759113573404E-2</v>
      </c>
      <c r="L722" s="8">
        <f t="shared" si="11"/>
        <v>1.6852906121466366E-2</v>
      </c>
    </row>
    <row r="723" spans="1:12" x14ac:dyDescent="0.25">
      <c r="A723" s="5">
        <v>42759</v>
      </c>
      <c r="B723" s="4">
        <v>633.77502400000003</v>
      </c>
      <c r="C723" s="4">
        <v>254.89999399999999</v>
      </c>
      <c r="D723" s="4">
        <v>233.77299500000001</v>
      </c>
      <c r="E723" s="4">
        <v>1251.5500489999999</v>
      </c>
      <c r="F723" s="4">
        <v>451.25</v>
      </c>
      <c r="G723" s="3">
        <f>IF('Value at Risk'!$C$5=0,'Market Data - EQ'!B723-'Market Data - EQ'!B724,IF('Value at Risk'!$C$6=0,('Market Data - EQ'!B723-'Market Data - EQ'!B724)/'Market Data - EQ'!B724,LN('Market Data - EQ'!B723/'Market Data - EQ'!B724)))</f>
        <v>1.8398765563354885E-2</v>
      </c>
      <c r="H723" s="3">
        <f>IF('Value at Risk'!$C$5=0,'Market Data - EQ'!C723-'Market Data - EQ'!C724,IF('Value at Risk'!$C$6=0,('Market Data - EQ'!C723-'Market Data - EQ'!C724)/'Market Data - EQ'!C724,LN('Market Data - EQ'!C723/'Market Data - EQ'!C724)))</f>
        <v>2.9510132508600412E-3</v>
      </c>
      <c r="I723" s="3">
        <f>IF('Value at Risk'!$C$5=0,'Market Data - EQ'!D723-'Market Data - EQ'!D724,IF('Value at Risk'!$C$6=0,('Market Data - EQ'!D723-'Market Data - EQ'!D724)/'Market Data - EQ'!D724,LN('Market Data - EQ'!D723/'Market Data - EQ'!D724)))</f>
        <v>-1.550410859069772E-3</v>
      </c>
      <c r="J723" s="3">
        <f>IF('Value at Risk'!$C$5=0,'Market Data - EQ'!E723-'Market Data - EQ'!E724,IF('Value at Risk'!$C$6=0,('Market Data - EQ'!E723-'Market Data - EQ'!E724)/'Market Data - EQ'!E724,LN('Market Data - EQ'!E723/'Market Data - EQ'!E724)))</f>
        <v>1.6487349441624319E-2</v>
      </c>
      <c r="K723" s="3">
        <f>IF('Value at Risk'!$C$5=0,'Market Data - EQ'!F723-'Market Data - EQ'!F724,IF('Value at Risk'!$C$6=0,('Market Data - EQ'!F723-'Market Data - EQ'!F724)/'Market Data - EQ'!F724,LN('Market Data - EQ'!F723/'Market Data - EQ'!F724)))</f>
        <v>1.4044943820224719E-2</v>
      </c>
      <c r="L723" s="8">
        <f t="shared" si="11"/>
        <v>1.0066332243398838E-2</v>
      </c>
    </row>
    <row r="724" spans="1:12" x14ac:dyDescent="0.25">
      <c r="A724" s="5">
        <v>42758</v>
      </c>
      <c r="B724" s="4">
        <v>622.32501200000002</v>
      </c>
      <c r="C724" s="4">
        <v>254.14999399999999</v>
      </c>
      <c r="D724" s="4">
        <v>234.13600199999999</v>
      </c>
      <c r="E724" s="4">
        <v>1231.25</v>
      </c>
      <c r="F724" s="4">
        <v>445</v>
      </c>
      <c r="G724" s="3">
        <f>IF('Value at Risk'!$C$5=0,'Market Data - EQ'!B724-'Market Data - EQ'!B725,IF('Value at Risk'!$C$6=0,('Market Data - EQ'!B724-'Market Data - EQ'!B725)/'Market Data - EQ'!B725,LN('Market Data - EQ'!B724/'Market Data - EQ'!B725)))</f>
        <v>6.713348292247681E-3</v>
      </c>
      <c r="H724" s="3">
        <f>IF('Value at Risk'!$C$5=0,'Market Data - EQ'!C724-'Market Data - EQ'!C725,IF('Value at Risk'!$C$6=0,('Market Data - EQ'!C724-'Market Data - EQ'!C725)/'Market Data - EQ'!C725,LN('Market Data - EQ'!C724/'Market Data - EQ'!C725)))</f>
        <v>1.2348101824161255E-2</v>
      </c>
      <c r="I724" s="3">
        <f>IF('Value at Risk'!$C$5=0,'Market Data - EQ'!D724-'Market Data - EQ'!D725,IF('Value at Risk'!$C$6=0,('Market Data - EQ'!D724-'Market Data - EQ'!D725)/'Market Data - EQ'!D725,LN('Market Data - EQ'!D724/'Market Data - EQ'!D725)))</f>
        <v>-2.2396651356993775E-2</v>
      </c>
      <c r="J724" s="3">
        <f>IF('Value at Risk'!$C$5=0,'Market Data - EQ'!E724-'Market Data - EQ'!E725,IF('Value at Risk'!$C$6=0,('Market Data - EQ'!E724-'Market Data - EQ'!E725)/'Market Data - EQ'!E725,LN('Market Data - EQ'!E724/'Market Data - EQ'!E725)))</f>
        <v>9.014546199549273E-3</v>
      </c>
      <c r="K724" s="3">
        <f>IF('Value at Risk'!$C$5=0,'Market Data - EQ'!F724-'Market Data - EQ'!F725,IF('Value at Risk'!$C$6=0,('Market Data - EQ'!F724-'Market Data - EQ'!F725)/'Market Data - EQ'!F725,LN('Market Data - EQ'!F724/'Market Data - EQ'!F725)))</f>
        <v>-1.2756516916250694E-2</v>
      </c>
      <c r="L724" s="8">
        <f t="shared" si="11"/>
        <v>-1.4154343914572522E-3</v>
      </c>
    </row>
    <row r="725" spans="1:12" x14ac:dyDescent="0.25">
      <c r="A725" s="5">
        <v>42755</v>
      </c>
      <c r="B725" s="4">
        <v>618.17498799999998</v>
      </c>
      <c r="C725" s="4">
        <v>251.050003</v>
      </c>
      <c r="D725" s="4">
        <v>239.5</v>
      </c>
      <c r="E725" s="4">
        <v>1220.25</v>
      </c>
      <c r="F725" s="4">
        <v>450.75</v>
      </c>
      <c r="G725" s="3">
        <f>IF('Value at Risk'!$C$5=0,'Market Data - EQ'!B725-'Market Data - EQ'!B726,IF('Value at Risk'!$C$6=0,('Market Data - EQ'!B725-'Market Data - EQ'!B726)/'Market Data - EQ'!B726,LN('Market Data - EQ'!B725/'Market Data - EQ'!B726)))</f>
        <v>4.0385018249153166E-5</v>
      </c>
      <c r="H725" s="3">
        <f>IF('Value at Risk'!$C$5=0,'Market Data - EQ'!C725-'Market Data - EQ'!C726,IF('Value at Risk'!$C$6=0,('Market Data - EQ'!C725-'Market Data - EQ'!C726)/'Market Data - EQ'!C726,LN('Market Data - EQ'!C725/'Market Data - EQ'!C726)))</f>
        <v>-2.8444238276568955E-2</v>
      </c>
      <c r="I725" s="3">
        <f>IF('Value at Risk'!$C$5=0,'Market Data - EQ'!D725-'Market Data - EQ'!D726,IF('Value at Risk'!$C$6=0,('Market Data - EQ'!D725-'Market Data - EQ'!D726)/'Market Data - EQ'!D726,LN('Market Data - EQ'!D725/'Market Data - EQ'!D726)))</f>
        <v>-2.3174649190305385E-2</v>
      </c>
      <c r="J725" s="3">
        <f>IF('Value at Risk'!$C$5=0,'Market Data - EQ'!E725-'Market Data - EQ'!E726,IF('Value at Risk'!$C$6=0,('Market Data - EQ'!E725-'Market Data - EQ'!E726)/'Market Data - EQ'!E726,LN('Market Data - EQ'!E725/'Market Data - EQ'!E726)))</f>
        <v>-8.1924039796899741E-5</v>
      </c>
      <c r="K725" s="3">
        <f>IF('Value at Risk'!$C$5=0,'Market Data - EQ'!F725-'Market Data - EQ'!F726,IF('Value at Risk'!$C$6=0,('Market Data - EQ'!F725-'Market Data - EQ'!F726)/'Market Data - EQ'!F726,LN('Market Data - EQ'!F725/'Market Data - EQ'!F726)))</f>
        <v>-6.8313329515832868E-2</v>
      </c>
      <c r="L725" s="8">
        <f t="shared" si="11"/>
        <v>-2.399475120085099E-2</v>
      </c>
    </row>
    <row r="726" spans="1:12" x14ac:dyDescent="0.25">
      <c r="A726" s="5">
        <v>42754</v>
      </c>
      <c r="B726" s="4">
        <v>618.15002400000003</v>
      </c>
      <c r="C726" s="4">
        <v>258.39999399999999</v>
      </c>
      <c r="D726" s="4">
        <v>245.182007</v>
      </c>
      <c r="E726" s="4">
        <v>1220.349976</v>
      </c>
      <c r="F726" s="4">
        <v>483.79998799999998</v>
      </c>
      <c r="G726" s="3">
        <f>IF('Value at Risk'!$C$5=0,'Market Data - EQ'!B726-'Market Data - EQ'!B727,IF('Value at Risk'!$C$6=0,('Market Data - EQ'!B726-'Market Data - EQ'!B727)/'Market Data - EQ'!B727,LN('Market Data - EQ'!B726/'Market Data - EQ'!B727)))</f>
        <v>-5.0699566406557772E-3</v>
      </c>
      <c r="H726" s="3">
        <f>IF('Value at Risk'!$C$5=0,'Market Data - EQ'!C726-'Market Data - EQ'!C727,IF('Value at Risk'!$C$6=0,('Market Data - EQ'!C726-'Market Data - EQ'!C727)/'Market Data - EQ'!C727,LN('Market Data - EQ'!C726/'Market Data - EQ'!C727)))</f>
        <v>1.9348944779968311E-4</v>
      </c>
      <c r="I726" s="3">
        <f>IF('Value at Risk'!$C$5=0,'Market Data - EQ'!D726-'Market Data - EQ'!D727,IF('Value at Risk'!$C$6=0,('Market Data - EQ'!D726-'Market Data - EQ'!D727)/'Market Data - EQ'!D727,LN('Market Data - EQ'!D726/'Market Data - EQ'!D727)))</f>
        <v>4.659013744670178E-3</v>
      </c>
      <c r="J726" s="3">
        <f>IF('Value at Risk'!$C$5=0,'Market Data - EQ'!E726-'Market Data - EQ'!E727,IF('Value at Risk'!$C$6=0,('Market Data - EQ'!E726-'Market Data - EQ'!E727)/'Market Data - EQ'!E727,LN('Market Data - EQ'!E726/'Market Data - EQ'!E727)))</f>
        <v>-6.0678226931720662E-3</v>
      </c>
      <c r="K726" s="3">
        <f>IF('Value at Risk'!$C$5=0,'Market Data - EQ'!F726-'Market Data - EQ'!F727,IF('Value at Risk'!$C$6=0,('Market Data - EQ'!F726-'Market Data - EQ'!F727)/'Market Data - EQ'!F727,LN('Market Data - EQ'!F726/'Market Data - EQ'!F727)))</f>
        <v>-9.6213142272262332E-3</v>
      </c>
      <c r="L726" s="8">
        <f t="shared" si="11"/>
        <v>-3.1813180737168432E-3</v>
      </c>
    </row>
    <row r="727" spans="1:12" x14ac:dyDescent="0.25">
      <c r="A727" s="5">
        <v>42753</v>
      </c>
      <c r="B727" s="4">
        <v>621.29998799999998</v>
      </c>
      <c r="C727" s="4">
        <v>258.35000600000001</v>
      </c>
      <c r="D727" s="4">
        <v>244.04499799999999</v>
      </c>
      <c r="E727" s="4">
        <v>1227.8000489999999</v>
      </c>
      <c r="F727" s="4">
        <v>488.5</v>
      </c>
      <c r="G727" s="3">
        <f>IF('Value at Risk'!$C$5=0,'Market Data - EQ'!B727-'Market Data - EQ'!B728,IF('Value at Risk'!$C$6=0,('Market Data - EQ'!B727-'Market Data - EQ'!B728)/'Market Data - EQ'!B728,LN('Market Data - EQ'!B727/'Market Data - EQ'!B728)))</f>
        <v>3.3104368187323128E-3</v>
      </c>
      <c r="H727" s="3">
        <f>IF('Value at Risk'!$C$5=0,'Market Data - EQ'!C727-'Market Data - EQ'!C728,IF('Value at Risk'!$C$6=0,('Market Data - EQ'!C727-'Market Data - EQ'!C728)/'Market Data - EQ'!C728,LN('Market Data - EQ'!C727/'Market Data - EQ'!C728)))</f>
        <v>9.1797109375000296E-3</v>
      </c>
      <c r="I727" s="3">
        <f>IF('Value at Risk'!$C$5=0,'Market Data - EQ'!D727-'Market Data - EQ'!D728,IF('Value at Risk'!$C$6=0,('Market Data - EQ'!D727-'Market Data - EQ'!D728)/'Market Data - EQ'!D728,LN('Market Data - EQ'!D727/'Market Data - EQ'!D728)))</f>
        <v>1.8441803278685469E-4</v>
      </c>
      <c r="J727" s="3">
        <f>IF('Value at Risk'!$C$5=0,'Market Data - EQ'!E727-'Market Data - EQ'!E728,IF('Value at Risk'!$C$6=0,('Market Data - EQ'!E727-'Market Data - EQ'!E728)/'Market Data - EQ'!E728,LN('Market Data - EQ'!E727/'Market Data - EQ'!E728)))</f>
        <v>1.128413909135929E-2</v>
      </c>
      <c r="K727" s="3">
        <f>IF('Value at Risk'!$C$5=0,'Market Data - EQ'!F727-'Market Data - EQ'!F728,IF('Value at Risk'!$C$6=0,('Market Data - EQ'!F727-'Market Data - EQ'!F728)/'Market Data - EQ'!F728,LN('Market Data - EQ'!F727/'Market Data - EQ'!F728)))</f>
        <v>2.6682840065282774E-3</v>
      </c>
      <c r="L727" s="8">
        <f t="shared" si="11"/>
        <v>5.3253977773813537E-3</v>
      </c>
    </row>
    <row r="728" spans="1:12" x14ac:dyDescent="0.25">
      <c r="A728" s="5">
        <v>42752</v>
      </c>
      <c r="B728" s="4">
        <v>619.25</v>
      </c>
      <c r="C728" s="4">
        <v>256</v>
      </c>
      <c r="D728" s="4">
        <v>244</v>
      </c>
      <c r="E728" s="4">
        <v>1214.099976</v>
      </c>
      <c r="F728" s="4">
        <v>487.20001200000002</v>
      </c>
      <c r="G728" s="3">
        <f>IF('Value at Risk'!$C$5=0,'Market Data - EQ'!B728-'Market Data - EQ'!B729,IF('Value at Risk'!$C$6=0,('Market Data - EQ'!B728-'Market Data - EQ'!B729)/'Market Data - EQ'!B729,LN('Market Data - EQ'!B728/'Market Data - EQ'!B729)))</f>
        <v>-7.3338066156283183E-3</v>
      </c>
      <c r="H728" s="3">
        <f>IF('Value at Risk'!$C$5=0,'Market Data - EQ'!C728-'Market Data - EQ'!C729,IF('Value at Risk'!$C$6=0,('Market Data - EQ'!C728-'Market Data - EQ'!C729)/'Market Data - EQ'!C729,LN('Market Data - EQ'!C728/'Market Data - EQ'!C729)))</f>
        <v>9.7751710654936461E-4</v>
      </c>
      <c r="I728" s="3">
        <f>IF('Value at Risk'!$C$5=0,'Market Data - EQ'!D728-'Market Data - EQ'!D729,IF('Value at Risk'!$C$6=0,('Market Data - EQ'!D728-'Market Data - EQ'!D729)/'Market Data - EQ'!D729,LN('Market Data - EQ'!D728/'Market Data - EQ'!D729)))</f>
        <v>-3.3412290901347324E-3</v>
      </c>
      <c r="J728" s="3">
        <f>IF('Value at Risk'!$C$5=0,'Market Data - EQ'!E728-'Market Data - EQ'!E729,IF('Value at Risk'!$C$6=0,('Market Data - EQ'!E728-'Market Data - EQ'!E729)/'Market Data - EQ'!E729,LN('Market Data - EQ'!E728/'Market Data - EQ'!E729)))</f>
        <v>-2.7926275154004357E-3</v>
      </c>
      <c r="K728" s="3">
        <f>IF('Value at Risk'!$C$5=0,'Market Data - EQ'!F728-'Market Data - EQ'!F729,IF('Value at Risk'!$C$6=0,('Market Data - EQ'!F728-'Market Data - EQ'!F729)/'Market Data - EQ'!F729,LN('Market Data - EQ'!F728/'Market Data - EQ'!F729)))</f>
        <v>2.0848636982713494E-2</v>
      </c>
      <c r="L728" s="8">
        <f t="shared" si="11"/>
        <v>1.6716981736198747E-3</v>
      </c>
    </row>
    <row r="729" spans="1:12" x14ac:dyDescent="0.25">
      <c r="A729" s="5">
        <v>42751</v>
      </c>
      <c r="B729" s="4">
        <v>623.82501200000002</v>
      </c>
      <c r="C729" s="4">
        <v>255.75</v>
      </c>
      <c r="D729" s="4">
        <v>244.817993</v>
      </c>
      <c r="E729" s="4">
        <v>1217.5</v>
      </c>
      <c r="F729" s="4">
        <v>477.25</v>
      </c>
      <c r="G729" s="3">
        <f>IF('Value at Risk'!$C$5=0,'Market Data - EQ'!B729-'Market Data - EQ'!B730,IF('Value at Risk'!$C$6=0,('Market Data - EQ'!B729-'Market Data - EQ'!B730)/'Market Data - EQ'!B730,LN('Market Data - EQ'!B729/'Market Data - EQ'!B730)))</f>
        <v>1.2292108722109557E-2</v>
      </c>
      <c r="H729" s="3">
        <f>IF('Value at Risk'!$C$5=0,'Market Data - EQ'!C729-'Market Data - EQ'!C730,IF('Value at Risk'!$C$6=0,('Market Data - EQ'!C729-'Market Data - EQ'!C730)/'Market Data - EQ'!C730,LN('Market Data - EQ'!C729/'Market Data - EQ'!C730)))</f>
        <v>1.9330434898296601E-2</v>
      </c>
      <c r="I729" s="3">
        <f>IF('Value at Risk'!$C$5=0,'Market Data - EQ'!D729-'Market Data - EQ'!D730,IF('Value at Risk'!$C$6=0,('Market Data - EQ'!D729-'Market Data - EQ'!D730)/'Market Data - EQ'!D730,LN('Market Data - EQ'!D729/'Market Data - EQ'!D730)))</f>
        <v>4.6617557610644702E-3</v>
      </c>
      <c r="J729" s="3">
        <f>IF('Value at Risk'!$C$5=0,'Market Data - EQ'!E729-'Market Data - EQ'!E730,IF('Value at Risk'!$C$6=0,('Market Data - EQ'!E729-'Market Data - EQ'!E730)/'Market Data - EQ'!E730,LN('Market Data - EQ'!E729/'Market Data - EQ'!E730)))</f>
        <v>1.5217998301129221E-3</v>
      </c>
      <c r="K729" s="3">
        <f>IF('Value at Risk'!$C$5=0,'Market Data - EQ'!F729-'Market Data - EQ'!F730,IF('Value at Risk'!$C$6=0,('Market Data - EQ'!F729-'Market Data - EQ'!F730)/'Market Data - EQ'!F730,LN('Market Data - EQ'!F729/'Market Data - EQ'!F730)))</f>
        <v>9.412039155973953E-3</v>
      </c>
      <c r="L729" s="8">
        <f t="shared" si="11"/>
        <v>9.4436276735115014E-3</v>
      </c>
    </row>
    <row r="730" spans="1:12" x14ac:dyDescent="0.25">
      <c r="A730" s="5">
        <v>42748</v>
      </c>
      <c r="B730" s="4">
        <v>616.25</v>
      </c>
      <c r="C730" s="4">
        <v>250.89999399999999</v>
      </c>
      <c r="D730" s="4">
        <v>243.682007</v>
      </c>
      <c r="E730" s="4">
        <v>1215.650024</v>
      </c>
      <c r="F730" s="4">
        <v>472.79998799999998</v>
      </c>
      <c r="G730" s="3">
        <f>IF('Value at Risk'!$C$5=0,'Market Data - EQ'!B730-'Market Data - EQ'!B731,IF('Value at Risk'!$C$6=0,('Market Data - EQ'!B730-'Market Data - EQ'!B731)/'Market Data - EQ'!B731,LN('Market Data - EQ'!B730/'Market Data - EQ'!B731)))</f>
        <v>-2.0242914979757085E-3</v>
      </c>
      <c r="H730" s="3">
        <f>IF('Value at Risk'!$C$5=0,'Market Data - EQ'!C730-'Market Data - EQ'!C731,IF('Value at Risk'!$C$6=0,('Market Data - EQ'!C730-'Market Data - EQ'!C731)/'Market Data - EQ'!C731,LN('Market Data - EQ'!C730/'Market Data - EQ'!C731)))</f>
        <v>-1.3930587064676918E-3</v>
      </c>
      <c r="I730" s="3">
        <f>IF('Value at Risk'!$C$5=0,'Market Data - EQ'!D730-'Market Data - EQ'!D731,IF('Value at Risk'!$C$6=0,('Market Data - EQ'!D730-'Market Data - EQ'!D731)/'Market Data - EQ'!D731,LN('Market Data - EQ'!D730/'Market Data - EQ'!D731)))</f>
        <v>-1.1190383380620692E-3</v>
      </c>
      <c r="J730" s="3">
        <f>IF('Value at Risk'!$C$5=0,'Market Data - EQ'!E730-'Market Data - EQ'!E731,IF('Value at Risk'!$C$6=0,('Market Data - EQ'!E730-'Market Data - EQ'!E731)/'Market Data - EQ'!E731,LN('Market Data - EQ'!E730/'Market Data - EQ'!E731)))</f>
        <v>-3.4838920537639075E-3</v>
      </c>
      <c r="K730" s="3">
        <f>IF('Value at Risk'!$C$5=0,'Market Data - EQ'!F730-'Market Data - EQ'!F731,IF('Value at Risk'!$C$6=0,('Market Data - EQ'!F730-'Market Data - EQ'!F731)/'Market Data - EQ'!F731,LN('Market Data - EQ'!F730/'Market Data - EQ'!F731)))</f>
        <v>3.8664269630994584E-2</v>
      </c>
      <c r="L730" s="8">
        <f t="shared" si="11"/>
        <v>6.1287978069450412E-3</v>
      </c>
    </row>
    <row r="731" spans="1:12" x14ac:dyDescent="0.25">
      <c r="A731" s="5">
        <v>42747</v>
      </c>
      <c r="B731" s="4">
        <v>617.5</v>
      </c>
      <c r="C731" s="4">
        <v>251.25</v>
      </c>
      <c r="D731" s="4">
        <v>243.95500200000001</v>
      </c>
      <c r="E731" s="4">
        <v>1219.900024</v>
      </c>
      <c r="F731" s="4">
        <v>455.20001200000002</v>
      </c>
      <c r="G731" s="3">
        <f>IF('Value at Risk'!$C$5=0,'Market Data - EQ'!B731-'Market Data - EQ'!B732,IF('Value at Risk'!$C$6=0,('Market Data - EQ'!B731-'Market Data - EQ'!B732)/'Market Data - EQ'!B732,LN('Market Data - EQ'!B731/'Market Data - EQ'!B732)))</f>
        <v>8.1037277147487841E-4</v>
      </c>
      <c r="H731" s="3">
        <f>IF('Value at Risk'!$C$5=0,'Market Data - EQ'!C731-'Market Data - EQ'!C732,IF('Value at Risk'!$C$6=0,('Market Data - EQ'!C731-'Market Data - EQ'!C732)/'Market Data - EQ'!C732,LN('Market Data - EQ'!C731/'Market Data - EQ'!C732)))</f>
        <v>-3.569280275295158E-3</v>
      </c>
      <c r="I731" s="3">
        <f>IF('Value at Risk'!$C$5=0,'Market Data - EQ'!D731-'Market Data - EQ'!D732,IF('Value at Risk'!$C$6=0,('Market Data - EQ'!D731-'Market Data - EQ'!D732)/'Market Data - EQ'!D732,LN('Market Data - EQ'!D731/'Market Data - EQ'!D732)))</f>
        <v>1.3792616119012885E-2</v>
      </c>
      <c r="J731" s="3">
        <f>IF('Value at Risk'!$C$5=0,'Market Data - EQ'!E731-'Market Data - EQ'!E732,IF('Value at Risk'!$C$6=0,('Market Data - EQ'!E731-'Market Data - EQ'!E732)/'Market Data - EQ'!E732,LN('Market Data - EQ'!E731/'Market Data - EQ'!E732)))</f>
        <v>-1.1266027271814378E-2</v>
      </c>
      <c r="K731" s="3">
        <f>IF('Value at Risk'!$C$5=0,'Market Data - EQ'!F731-'Market Data - EQ'!F732,IF('Value at Risk'!$C$6=0,('Market Data - EQ'!F731-'Market Data - EQ'!F732)/'Market Data - EQ'!F732,LN('Market Data - EQ'!F731/'Market Data - EQ'!F732)))</f>
        <v>3.5273500415253689E-3</v>
      </c>
      <c r="L731" s="8">
        <f t="shared" si="11"/>
        <v>6.5900627698071913E-4</v>
      </c>
    </row>
    <row r="732" spans="1:12" x14ac:dyDescent="0.25">
      <c r="A732" s="5">
        <v>42746</v>
      </c>
      <c r="B732" s="4">
        <v>617</v>
      </c>
      <c r="C732" s="4">
        <v>252.14999399999999</v>
      </c>
      <c r="D732" s="4">
        <v>240.63600199999999</v>
      </c>
      <c r="E732" s="4">
        <v>1233.8000489999999</v>
      </c>
      <c r="F732" s="4">
        <v>453.60000600000001</v>
      </c>
      <c r="G732" s="3">
        <f>IF('Value at Risk'!$C$5=0,'Market Data - EQ'!B732-'Market Data - EQ'!B733,IF('Value at Risk'!$C$6=0,('Market Data - EQ'!B732-'Market Data - EQ'!B733)/'Market Data - EQ'!B733,LN('Market Data - EQ'!B732/'Market Data - EQ'!B733)))</f>
        <v>1.6181516357192262E-2</v>
      </c>
      <c r="H732" s="3">
        <f>IF('Value at Risk'!$C$5=0,'Market Data - EQ'!C732-'Market Data - EQ'!C733,IF('Value at Risk'!$C$6=0,('Market Data - EQ'!C732-'Market Data - EQ'!C733)/'Market Data - EQ'!C733,LN('Market Data - EQ'!C732/'Market Data - EQ'!C733)))</f>
        <v>1.5505400537590764E-2</v>
      </c>
      <c r="I732" s="3">
        <f>IF('Value at Risk'!$C$5=0,'Market Data - EQ'!D732-'Market Data - EQ'!D733,IF('Value at Risk'!$C$6=0,('Market Data - EQ'!D732-'Market Data - EQ'!D733)/'Market Data - EQ'!D733,LN('Market Data - EQ'!D732/'Market Data - EQ'!D733)))</f>
        <v>1.7294823541354268E-2</v>
      </c>
      <c r="J732" s="3">
        <f>IF('Value at Risk'!$C$5=0,'Market Data - EQ'!E732-'Market Data - EQ'!E733,IF('Value at Risk'!$C$6=0,('Market Data - EQ'!E732-'Market Data - EQ'!E733)/'Market Data - EQ'!E733,LN('Market Data - EQ'!E732/'Market Data - EQ'!E733)))</f>
        <v>6.29793237580656E-2</v>
      </c>
      <c r="K732" s="3">
        <f>IF('Value at Risk'!$C$5=0,'Market Data - EQ'!F732-'Market Data - EQ'!F733,IF('Value at Risk'!$C$6=0,('Market Data - EQ'!F732-'Market Data - EQ'!F733)/'Market Data - EQ'!F733,LN('Market Data - EQ'!F732/'Market Data - EQ'!F733)))</f>
        <v>1.397116333111215E-2</v>
      </c>
      <c r="L732" s="8">
        <f t="shared" si="11"/>
        <v>2.5186445505063011E-2</v>
      </c>
    </row>
    <row r="733" spans="1:12" x14ac:dyDescent="0.25">
      <c r="A733" s="5">
        <v>42745</v>
      </c>
      <c r="B733" s="4">
        <v>607.17498799999998</v>
      </c>
      <c r="C733" s="4">
        <v>248.300003</v>
      </c>
      <c r="D733" s="4">
        <v>236.54499799999999</v>
      </c>
      <c r="E733" s="4">
        <v>1160.6999510000001</v>
      </c>
      <c r="F733" s="4">
        <v>447.35000600000001</v>
      </c>
      <c r="G733" s="3">
        <f>IF('Value at Risk'!$C$5=0,'Market Data - EQ'!B733-'Market Data - EQ'!B734,IF('Value at Risk'!$C$6=0,('Market Data - EQ'!B733-'Market Data - EQ'!B734)/'Market Data - EQ'!B734,LN('Market Data - EQ'!B733/'Market Data - EQ'!B734)))</f>
        <v>1.6022443749228021E-2</v>
      </c>
      <c r="H733" s="3">
        <f>IF('Value at Risk'!$C$5=0,'Market Data - EQ'!C733-'Market Data - EQ'!C734,IF('Value at Risk'!$C$6=0,('Market Data - EQ'!C733-'Market Data - EQ'!C734)/'Market Data - EQ'!C734,LN('Market Data - EQ'!C733/'Market Data - EQ'!C734)))</f>
        <v>5.059704451814963E-3</v>
      </c>
      <c r="I733" s="3">
        <f>IF('Value at Risk'!$C$5=0,'Market Data - EQ'!D733-'Market Data - EQ'!D734,IF('Value at Risk'!$C$6=0,('Market Data - EQ'!D733-'Market Data - EQ'!D734)/'Market Data - EQ'!D734,LN('Market Data - EQ'!D733/'Market Data - EQ'!D734)))</f>
        <v>5.7954731205265798E-3</v>
      </c>
      <c r="J733" s="3">
        <f>IF('Value at Risk'!$C$5=0,'Market Data - EQ'!E733-'Market Data - EQ'!E734,IF('Value at Risk'!$C$6=0,('Market Data - EQ'!E733-'Market Data - EQ'!E734)/'Market Data - EQ'!E734,LN('Market Data - EQ'!E733/'Market Data - EQ'!E734)))</f>
        <v>1.2507664438214841E-3</v>
      </c>
      <c r="K733" s="3">
        <f>IF('Value at Risk'!$C$5=0,'Market Data - EQ'!F733-'Market Data - EQ'!F734,IF('Value at Risk'!$C$6=0,('Market Data - EQ'!F733-'Market Data - EQ'!F734)/'Market Data - EQ'!F734,LN('Market Data - EQ'!F733/'Market Data - EQ'!F734)))</f>
        <v>-1.1927098840419641E-2</v>
      </c>
      <c r="L733" s="8">
        <f t="shared" si="11"/>
        <v>3.2402577849942812E-3</v>
      </c>
    </row>
    <row r="734" spans="1:12" x14ac:dyDescent="0.25">
      <c r="A734" s="5">
        <v>42744</v>
      </c>
      <c r="B734" s="4">
        <v>597.59997599999997</v>
      </c>
      <c r="C734" s="4">
        <v>247.050003</v>
      </c>
      <c r="D734" s="4">
        <v>235.182007</v>
      </c>
      <c r="E734" s="4">
        <v>1159.25</v>
      </c>
      <c r="F734" s="4">
        <v>452.75</v>
      </c>
      <c r="G734" s="3">
        <f>IF('Value at Risk'!$C$5=0,'Market Data - EQ'!B734-'Market Data - EQ'!B735,IF('Value at Risk'!$C$6=0,('Market Data - EQ'!B734-'Market Data - EQ'!B735)/'Market Data - EQ'!B735,LN('Market Data - EQ'!B734/'Market Data - EQ'!B735)))</f>
        <v>1.298477752135419E-3</v>
      </c>
      <c r="H734" s="3">
        <f>IF('Value at Risk'!$C$5=0,'Market Data - EQ'!C734-'Market Data - EQ'!C735,IF('Value at Risk'!$C$6=0,('Market Data - EQ'!C734-'Market Data - EQ'!C735)/'Market Data - EQ'!C735,LN('Market Data - EQ'!C734/'Market Data - EQ'!C735)))</f>
        <v>4.67673455900943E-3</v>
      </c>
      <c r="I734" s="3">
        <f>IF('Value at Risk'!$C$5=0,'Market Data - EQ'!D734-'Market Data - EQ'!D735,IF('Value at Risk'!$C$6=0,('Market Data - EQ'!D734-'Market Data - EQ'!D735)/'Market Data - EQ'!D735,LN('Market Data - EQ'!D734/'Market Data - EQ'!D735)))</f>
        <v>2.1305425430420835E-3</v>
      </c>
      <c r="J734" s="3">
        <f>IF('Value at Risk'!$C$5=0,'Market Data - EQ'!E734-'Market Data - EQ'!E735,IF('Value at Risk'!$C$6=0,('Market Data - EQ'!E734-'Market Data - EQ'!E735)/'Market Data - EQ'!E735,LN('Market Data - EQ'!E734/'Market Data - EQ'!E735)))</f>
        <v>1.3286089199756729E-2</v>
      </c>
      <c r="K734" s="3">
        <f>IF('Value at Risk'!$C$5=0,'Market Data - EQ'!F734-'Market Data - EQ'!F735,IF('Value at Risk'!$C$6=0,('Market Data - EQ'!F734-'Market Data - EQ'!F735)/'Market Data - EQ'!F735,LN('Market Data - EQ'!F734/'Market Data - EQ'!F735)))</f>
        <v>-5.3822757807836241E-3</v>
      </c>
      <c r="L734" s="8">
        <f t="shared" si="11"/>
        <v>3.2019136546320077E-3</v>
      </c>
    </row>
    <row r="735" spans="1:12" x14ac:dyDescent="0.25">
      <c r="A735" s="5">
        <v>42741</v>
      </c>
      <c r="B735" s="4">
        <v>596.82501200000002</v>
      </c>
      <c r="C735" s="4">
        <v>245.89999399999999</v>
      </c>
      <c r="D735" s="4">
        <v>234.682007</v>
      </c>
      <c r="E735" s="4">
        <v>1144.0500489999999</v>
      </c>
      <c r="F735" s="4">
        <v>455.20001200000002</v>
      </c>
      <c r="G735" s="3">
        <f>IF('Value at Risk'!$C$5=0,'Market Data - EQ'!B735-'Market Data - EQ'!B736,IF('Value at Risk'!$C$6=0,('Market Data - EQ'!B735-'Market Data - EQ'!B736)/'Market Data - EQ'!B736,LN('Market Data - EQ'!B735/'Market Data - EQ'!B736)))</f>
        <v>6.2806207228712583E-3</v>
      </c>
      <c r="H735" s="3">
        <f>IF('Value at Risk'!$C$5=0,'Market Data - EQ'!C735-'Market Data - EQ'!C736,IF('Value at Risk'!$C$6=0,('Market Data - EQ'!C735-'Market Data - EQ'!C736)/'Market Data - EQ'!C736,LN('Market Data - EQ'!C735/'Market Data - EQ'!C736)))</f>
        <v>2.2416465724479535E-3</v>
      </c>
      <c r="I735" s="3">
        <f>IF('Value at Risk'!$C$5=0,'Market Data - EQ'!D735-'Market Data - EQ'!D736,IF('Value at Risk'!$C$6=0,('Market Data - EQ'!D735-'Market Data - EQ'!D736)/'Market Data - EQ'!D736,LN('Market Data - EQ'!D735/'Market Data - EQ'!D736)))</f>
        <v>3.4977978953391075E-3</v>
      </c>
      <c r="J735" s="3">
        <f>IF('Value at Risk'!$C$5=0,'Market Data - EQ'!E735-'Market Data - EQ'!E736,IF('Value at Risk'!$C$6=0,('Market Data - EQ'!E735-'Market Data - EQ'!E736)/'Market Data - EQ'!E736,LN('Market Data - EQ'!E735/'Market Data - EQ'!E736)))</f>
        <v>1.4633496769951362E-2</v>
      </c>
      <c r="K735" s="3">
        <f>IF('Value at Risk'!$C$5=0,'Market Data - EQ'!F735-'Market Data - EQ'!F736,IF('Value at Risk'!$C$6=0,('Market Data - EQ'!F735-'Market Data - EQ'!F736)/'Market Data - EQ'!F736,LN('Market Data - EQ'!F735/'Market Data - EQ'!F736)))</f>
        <v>-6.2219759298410239E-3</v>
      </c>
      <c r="L735" s="8">
        <f t="shared" si="11"/>
        <v>4.0863172061537311E-3</v>
      </c>
    </row>
    <row r="736" spans="1:12" x14ac:dyDescent="0.25">
      <c r="A736" s="5">
        <v>42740</v>
      </c>
      <c r="B736" s="4">
        <v>593.09997599999997</v>
      </c>
      <c r="C736" s="4">
        <v>245.35000600000001</v>
      </c>
      <c r="D736" s="4">
        <v>233.86399800000001</v>
      </c>
      <c r="E736" s="4">
        <v>1127.5500489999999</v>
      </c>
      <c r="F736" s="4">
        <v>458.04998799999998</v>
      </c>
      <c r="G736" s="3">
        <f>IF('Value at Risk'!$C$5=0,'Market Data - EQ'!B736-'Market Data - EQ'!B737,IF('Value at Risk'!$C$6=0,('Market Data - EQ'!B736-'Market Data - EQ'!B737)/'Market Data - EQ'!B737,LN('Market Data - EQ'!B736/'Market Data - EQ'!B737)))</f>
        <v>5.90427667650729E-4</v>
      </c>
      <c r="H736" s="3">
        <f>IF('Value at Risk'!$C$5=0,'Market Data - EQ'!C736-'Market Data - EQ'!C737,IF('Value at Risk'!$C$6=0,('Market Data - EQ'!C736-'Market Data - EQ'!C737)/'Market Data - EQ'!C737,LN('Market Data - EQ'!C736/'Market Data - EQ'!C737)))</f>
        <v>1.0086504983610725E-2</v>
      </c>
      <c r="I736" s="3">
        <f>IF('Value at Risk'!$C$5=0,'Market Data - EQ'!D736-'Market Data - EQ'!D737,IF('Value at Risk'!$C$6=0,('Market Data - EQ'!D736-'Market Data - EQ'!D737)/'Market Data - EQ'!D737,LN('Market Data - EQ'!D736/'Market Data - EQ'!D737)))</f>
        <v>2.4492616833629403E-2</v>
      </c>
      <c r="J736" s="3">
        <f>IF('Value at Risk'!$C$5=0,'Market Data - EQ'!E736-'Market Data - EQ'!E737,IF('Value at Risk'!$C$6=0,('Market Data - EQ'!E736-'Market Data - EQ'!E737)/'Market Data - EQ'!E737,LN('Market Data - EQ'!E736/'Market Data - EQ'!E737)))</f>
        <v>2.4905716858848983E-2</v>
      </c>
      <c r="K736" s="3">
        <f>IF('Value at Risk'!$C$5=0,'Market Data - EQ'!F736-'Market Data - EQ'!F737,IF('Value at Risk'!$C$6=0,('Market Data - EQ'!F736-'Market Data - EQ'!F737)/'Market Data - EQ'!F737,LN('Market Data - EQ'!F736/'Market Data - EQ'!F737)))</f>
        <v>1.0924700804351737E-2</v>
      </c>
      <c r="L736" s="8">
        <f t="shared" si="11"/>
        <v>1.4199993429618316E-2</v>
      </c>
    </row>
    <row r="737" spans="1:12" x14ac:dyDescent="0.25">
      <c r="A737" s="5">
        <v>42739</v>
      </c>
      <c r="B737" s="4">
        <v>592.75</v>
      </c>
      <c r="C737" s="4">
        <v>242.89999399999999</v>
      </c>
      <c r="D737" s="4">
        <v>228.27299500000001</v>
      </c>
      <c r="E737" s="4">
        <v>1100.150024</v>
      </c>
      <c r="F737" s="4">
        <v>453.10000600000001</v>
      </c>
      <c r="G737" s="3">
        <f>IF('Value at Risk'!$C$5=0,'Market Data - EQ'!B737-'Market Data - EQ'!B738,IF('Value at Risk'!$C$6=0,('Market Data - EQ'!B737-'Market Data - EQ'!B738)/'Market Data - EQ'!B738,LN('Market Data - EQ'!B737/'Market Data - EQ'!B738)))</f>
        <v>-3.6978098254076765E-3</v>
      </c>
      <c r="H737" s="3">
        <f>IF('Value at Risk'!$C$5=0,'Market Data - EQ'!C737-'Market Data - EQ'!C738,IF('Value at Risk'!$C$6=0,('Market Data - EQ'!C737-'Market Data - EQ'!C738)/'Market Data - EQ'!C738,LN('Market Data - EQ'!C737/'Market Data - EQ'!C738)))</f>
        <v>-8.1665988117582394E-3</v>
      </c>
      <c r="I737" s="3">
        <f>IF('Value at Risk'!$C$5=0,'Market Data - EQ'!D737-'Market Data - EQ'!D738,IF('Value at Risk'!$C$6=0,('Market Data - EQ'!D737-'Market Data - EQ'!D738)/'Market Data - EQ'!D738,LN('Market Data - EQ'!D737/'Market Data - EQ'!D738)))</f>
        <v>-1.2971683096852704E-2</v>
      </c>
      <c r="J737" s="3">
        <f>IF('Value at Risk'!$C$5=0,'Market Data - EQ'!E737-'Market Data - EQ'!E738,IF('Value at Risk'!$C$6=0,('Market Data - EQ'!E737-'Market Data - EQ'!E738)/'Market Data - EQ'!E738,LN('Market Data - EQ'!E737/'Market Data - EQ'!E738)))</f>
        <v>-4.0882428658161203E-4</v>
      </c>
      <c r="K737" s="3">
        <f>IF('Value at Risk'!$C$5=0,'Market Data - EQ'!F737-'Market Data - EQ'!F738,IF('Value at Risk'!$C$6=0,('Market Data - EQ'!F737-'Market Data - EQ'!F738)/'Market Data - EQ'!F738,LN('Market Data - EQ'!F737/'Market Data - EQ'!F738)))</f>
        <v>-4.7226666666666502E-3</v>
      </c>
      <c r="L737" s="8">
        <f t="shared" si="11"/>
        <v>-5.993516537453376E-3</v>
      </c>
    </row>
    <row r="738" spans="1:12" x14ac:dyDescent="0.25">
      <c r="A738" s="5">
        <v>42738</v>
      </c>
      <c r="B738" s="4">
        <v>594.95001200000002</v>
      </c>
      <c r="C738" s="4">
        <v>244.89999399999999</v>
      </c>
      <c r="D738" s="4">
        <v>231.27299500000001</v>
      </c>
      <c r="E738" s="4">
        <v>1100.599976</v>
      </c>
      <c r="F738" s="4">
        <v>455.25</v>
      </c>
      <c r="G738" s="3">
        <f>IF('Value at Risk'!$C$5=0,'Market Data - EQ'!B738-'Market Data - EQ'!B739,IF('Value at Risk'!$C$6=0,('Market Data - EQ'!B738-'Market Data - EQ'!B739)/'Market Data - EQ'!B739,LN('Market Data - EQ'!B738/'Market Data - EQ'!B739)))</f>
        <v>-6.0144951502362565E-3</v>
      </c>
      <c r="H738" s="3">
        <f>IF('Value at Risk'!$C$5=0,'Market Data - EQ'!C738-'Market Data - EQ'!C739,IF('Value at Risk'!$C$6=0,('Market Data - EQ'!C738-'Market Data - EQ'!C739)/'Market Data - EQ'!C739,LN('Market Data - EQ'!C738/'Market Data - EQ'!C739)))</f>
        <v>5.3365680130565548E-3</v>
      </c>
      <c r="I738" s="3">
        <f>IF('Value at Risk'!$C$5=0,'Market Data - EQ'!D738-'Market Data - EQ'!D739,IF('Value at Risk'!$C$6=0,('Market Data - EQ'!D738-'Market Data - EQ'!D739)/'Market Data - EQ'!D739,LN('Market Data - EQ'!D738/'Market Data - EQ'!D739)))</f>
        <v>9.7273331417611492E-3</v>
      </c>
      <c r="J738" s="3">
        <f>IF('Value at Risk'!$C$5=0,'Market Data - EQ'!E738-'Market Data - EQ'!E739,IF('Value at Risk'!$C$6=0,('Market Data - EQ'!E738-'Market Data - EQ'!E739)/'Market Data - EQ'!E739,LN('Market Data - EQ'!E738/'Market Data - EQ'!E739)))</f>
        <v>1.2092533534906484E-2</v>
      </c>
      <c r="K738" s="3">
        <f>IF('Value at Risk'!$C$5=0,'Market Data - EQ'!F738-'Market Data - EQ'!F739,IF('Value at Risk'!$C$6=0,('Market Data - EQ'!F738-'Market Data - EQ'!F739)/'Market Data - EQ'!F739,LN('Market Data - EQ'!F738/'Market Data - EQ'!F739)))</f>
        <v>1.675041876046901E-2</v>
      </c>
      <c r="L738" s="8">
        <f t="shared" si="11"/>
        <v>7.5784716599913886E-3</v>
      </c>
    </row>
    <row r="739" spans="1:12" x14ac:dyDescent="0.25">
      <c r="A739" s="5">
        <v>42737</v>
      </c>
      <c r="B739" s="4">
        <v>598.54998799999998</v>
      </c>
      <c r="C739" s="4">
        <v>243.60000600000001</v>
      </c>
      <c r="D739" s="4">
        <v>229.04499799999999</v>
      </c>
      <c r="E739" s="4">
        <v>1087.4499510000001</v>
      </c>
      <c r="F739" s="4">
        <v>447.75</v>
      </c>
      <c r="G739" s="3"/>
      <c r="H739" s="3"/>
      <c r="I739" s="3"/>
      <c r="J739" s="3"/>
      <c r="K739" s="3"/>
    </row>
  </sheetData>
  <mergeCells count="3">
    <mergeCell ref="B1:F1"/>
    <mergeCell ref="G1:K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at Risk</vt:lpstr>
      <vt:lpstr>Market Data - 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Maheshwari</dc:creator>
  <cp:lastModifiedBy>Gaurang Sharma</cp:lastModifiedBy>
  <dcterms:created xsi:type="dcterms:W3CDTF">2022-03-04T12:47:11Z</dcterms:created>
  <dcterms:modified xsi:type="dcterms:W3CDTF">2022-07-15T12:41:07Z</dcterms:modified>
</cp:coreProperties>
</file>